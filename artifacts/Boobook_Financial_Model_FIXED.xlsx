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09eda88f7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ivers" sheetId="1" r:id="R8eae4e65e1344285"/>
    <x:sheet xmlns:r="http://schemas.openxmlformats.org/officeDocument/2006/relationships" name="Monthly_24mo" sheetId="2" r:id="R82be3f8621184219"/>
    <x:sheet xmlns:r="http://schemas.openxmlformats.org/officeDocument/2006/relationships" name="Summary" sheetId="3" r:id="Rb414615005814d8e"/>
  </x:sheets>
</x:workbook>
</file>

<file path=xl/sharedStrings.xml><?xml version="1.0" encoding="utf-8"?>
<x:sst xmlns:x="http://schemas.openxmlformats.org/spreadsheetml/2006/main">
  <x:si>
    <x:t xml:space="preserve">BOOBOOK — Financial Model v2 (honest rebuild)</x:t>
  </x:si>
  <x:si>
    <x:t xml:space="preserve">AUD. Monthly cash to expose the trough. Grants in arrears. Scenario-driven. Blue=input, black=formula, green=link.</x:t>
  </x:si>
  <x:si>
    <x:t xml:space="preserve">Months run Jul-2026 (M1) to Jun-2028 (M24).</x:t>
  </x:si>
  <x:si>
    <x:t xml:space="preserve">SCENARIO (1=Conservative, 2=Base, 3=Upside)</x:t>
  </x:si>
  <x:si>
    <x:t xml:space="preserve">SCENARIO TABLE  (the model reads the selected column)</x:t>
  </x:si>
  <x:si>
    <x:t xml:space="preserve">Conservative</x:t>
  </x:si>
  <x:si>
    <x:t xml:space="preserve">Base</x:t>
  </x:si>
  <x:si>
    <x:t xml:space="preserve">Upside</x:t>
  </x:si>
  <x:si>
    <x:t xml:space="preserve">Selected</x:t>
  </x:si>
  <x:si>
    <x:t xml:space="preserve">First pilot revenue — month #</x:t>
  </x:si>
  <x:si>
    <x:t xml:space="preserve">Pilot 1 annual value (AFMA/ABF)</x:t>
  </x:si>
  <x:si>
    <x:t xml:space="preserve">2nd customer revenue — month #</x:t>
  </x:si>
  <x:si>
    <x:t xml:space="preserve">2nd customer annual value</x:t>
  </x:si>
  <x:si>
    <x:t xml:space="preserve">Infra-adjacent nodes deployed (24mo)</x:t>
  </x:si>
  <x:si>
    <x:t xml:space="preserve">Remote nodes deployed (24mo)</x:t>
  </x:si>
  <x:si>
    <x:t xml:space="preserve">OPERATING ASSUMPTIONS (all scenarios)</x:t>
  </x:si>
  <x:si>
    <x:t xml:space="preserve">Founder draw / month (M1-M12)</x:t>
  </x:si>
  <x:si>
    <x:t xml:space="preserve">Founder draw / month (M13-M24)</x:t>
  </x:si>
  <x:si>
    <x:t xml:space="preserve">First technical hire — month #</x:t>
  </x:si>
  <x:si>
    <x:t xml:space="preserve">Hire salary / month (loaded)</x:t>
  </x:si>
  <x:si>
    <x:t xml:space="preserve">Second hire — month #</x:t>
  </x:si>
  <x:si>
    <x:t xml:space="preserve">Cloud + tooling / month</x:t>
  </x:si>
  <x:si>
    <x:t xml:space="preserve">G&amp;A + legal + accreditation / month</x:t>
  </x:si>
  <x:si>
    <x:t xml:space="preserve">Node opex / node / month (blended)</x:t>
  </x:si>
  <x:si>
    <x:t xml:space="preserve">Pilot delivery cost (COGS) % of revenue</x:t>
  </x:si>
  <x:si>
    <x:t xml:space="preserve">NODE BILL OF MATERIALS  (per-node capex)</x:t>
  </x:si>
  <x:si>
    <x:t xml:space="preserve">Infra-adjacent</x:t>
  </x:si>
  <x:si>
    <x:t xml:space="preserve">Remote off-grid</x:t>
  </x:si>
  <x:si>
    <x:t xml:space="preserve">SDR + spare</x:t>
  </x:si>
  <x:si>
    <x:t xml:space="preserve">GPSDO (timing)</x:t>
  </x:si>
  <x:si>
    <x:t xml:space="preserve">VHF antenna + LNA + filter</x:t>
  </x:si>
  <x:si>
    <x:t xml:space="preserve">Mast / mount</x:t>
  </x:si>
  <x:si>
    <x:t xml:space="preserve">Enclosure (IP67, thermal)</x:t>
  </x:si>
  <x:si>
    <x:t xml:space="preserve">Edge compute (+spare remote)</x:t>
  </x:si>
  <x:si>
    <x:t xml:space="preserve">Power (solar+battery off-grid)</x:t>
  </x:si>
  <x:si>
    <x:t xml:space="preserve">Backhaul (4G / Starlink)</x:t>
  </x:si>
  <x:si>
    <x:t xml:space="preserve">Freight + install + travel</x:t>
  </x:si>
  <x:si>
    <x:t xml:space="preserve">Site permit / lease (setup)</x:t>
  </x:si>
  <x:si>
    <x:t xml:space="preserve">Subtotal</x:t>
  </x:si>
  <x:si>
    <x:t xml:space="preserve">Contingency 15%</x:t>
  </x:si>
  <x:si>
    <x:t xml:space="preserve">TOTAL per node</x:t>
  </x:si>
  <x:si>
    <x:t xml:space="preserve">Monthly cash flow — 24 months (the death-zone view)</x:t>
  </x:si>
  <x:si>
    <x:t xml:space="preserve">Green links pull from Drivers (selected scenario). Watch row 'Cumulative cash' — its minimum is the funding need.</x:t>
  </x:si>
  <x:si>
    <x:t xml:space="preserve">Month</x:t>
  </x:si>
  <x:si>
    <x:t xml:space="preserve">M1</x:t>
  </x:si>
  <x:si>
    <x:t xml:space="preserve">M2</x:t>
  </x:si>
  <x:si>
    <x:t xml:space="preserve">M3</x:t>
  </x:si>
  <x:si>
    <x:t xml:space="preserve">M4</x:t>
  </x:si>
  <x:si>
    <x:t xml:space="preserve">M5</x:t>
  </x:si>
  <x:si>
    <x:t xml:space="preserve">M6</x:t>
  </x:si>
  <x:si>
    <x:t xml:space="preserve">M7</x:t>
  </x:si>
  <x:si>
    <x:t xml:space="preserve">M8</x:t>
  </x:si>
  <x:si>
    <x:t xml:space="preserve">M9</x:t>
  </x:si>
  <x:si>
    <x:t xml:space="preserve">M10</x:t>
  </x:si>
  <x:si>
    <x:t xml:space="preserve">M11</x:t>
  </x:si>
  <x:si>
    <x:t xml:space="preserve">M12</x:t>
  </x:si>
  <x:si>
    <x:t xml:space="preserve">M13</x:t>
  </x:si>
  <x:si>
    <x:t xml:space="preserve">M14</x:t>
  </x:si>
  <x:si>
    <x:t xml:space="preserve">M15</x:t>
  </x:si>
  <x:si>
    <x:t xml:space="preserve">M16</x:t>
  </x:si>
  <x:si>
    <x:t xml:space="preserve">M17</x:t>
  </x:si>
  <x:si>
    <x:t xml:space="preserve">M18</x:t>
  </x:si>
  <x:si>
    <x:t xml:space="preserve">M19</x:t>
  </x:si>
  <x:si>
    <x:t xml:space="preserve">M20</x:t>
  </x:si>
  <x:si>
    <x:t xml:space="preserve">M21</x:t>
  </x:si>
  <x:si>
    <x:t xml:space="preserve">M22</x:t>
  </x:si>
  <x:si>
    <x:t xml:space="preserve">M23</x:t>
  </x:si>
  <x:si>
    <x:t xml:space="preserve">M24</x:t>
  </x:si>
  <x:si>
    <x:t xml:space="preserve">INFLOWS</x:t>
  </x:si>
  <x:si>
    <x:t xml:space="preserve">Pilot 1 revenue</x:t>
  </x:si>
  <x:si>
    <x:t xml:space="preserve">Pilot 2 revenue</x:t>
  </x:si>
  <x:si>
    <x:t xml:space="preserve">Total revenue</x:t>
  </x:si>
  <x:si>
    <x:t xml:space="preserve">OUTFLOWS</x:t>
  </x:si>
  <x:si>
    <x:t xml:space="preserve">Founder draw</x:t>
  </x:si>
  <x:si>
    <x:t xml:space="preserve">Technical hires</x:t>
  </x:si>
  <x:si>
    <x:t xml:space="preserve">Cloud + tooling</x:t>
  </x:si>
  <x:si>
    <x:t xml:space="preserve">G&amp;A + legal + accreditation</x:t>
  </x:si>
  <x:si>
    <x:t xml:space="preserve">Node opex (cumulative nodes)</x:t>
  </x:si>
  <x:si>
    <x:t xml:space="preserve">Pilot delivery (COGS)</x:t>
  </x:si>
  <x:si>
    <x:t xml:space="preserve">Node capex (deployment months)</x:t>
  </x:si>
  <x:si>
    <x:t xml:space="preserve">Total outflows</x:t>
  </x:si>
  <x:si>
    <x:t xml:space="preserve">Net monthly cash</x:t>
  </x:si>
  <x:si>
    <x:t xml:space="preserve">Cumulative cash</x:t>
  </x:si>
  <x:si>
    <x:t xml:space="preserve">Boobook — Investment Summary (v2)</x:t>
  </x:si>
  <x:si>
    <x:t xml:space="preserve">Honest base case. Switch scenario on the Drivers tab (cell D5).</x:t>
  </x:si>
  <x:si>
    <x:t xml:space="preserve">Selected scenario</x:t>
  </x:si>
  <x:si>
    <x:t xml:space="preserve">Lowest cumulative cash (24mo) — the funding floor</x:t>
  </x:si>
  <x:si>
    <x:t xml:space="preserve">Month of lowest cash (the trough)</x:t>
  </x:si>
  <x:si>
    <x:t xml:space="preserve">Pre-seed raised</x:t>
  </x:si>
  <x:si>
    <x:t xml:space="preserve">Additional capital needed beyond pre-seed</x:t>
  </x:si>
  <x:si>
    <x:t xml:space="preserve">Cash at M24</x:t>
  </x:si>
  <x:si>
    <x:t xml:space="preserve">Remote node capex (each)</x:t>
  </x:si>
  <x:si>
    <x:t xml:space="preserve">Infra-adjacent node capex (each)</x:t>
  </x:si>
  <x:si>
    <x:t xml:space="preserve">WHAT CHANGED FROM v1 (the honesty pass)</x:t>
  </x:si>
  <x:si>
    <x:t xml:space="preserve">•  Coverage reframed: choke-point clusters, not a continental blanket.</x:t>
  </x:si>
  <x:si>
    <x:t xml:space="preserve">•  Node capex realistic: remote off-grid ~$32k+, not $10k (see BOM tab).</x:t>
  </x:si>
  <x:si>
    <x:t xml:space="preserve">•  Revenue lags procurement: first pilot month 9-15 depending on scenario.</x:t>
  </x:si>
  <x:si>
    <x:t xml:space="preserve">•  Pilots carry delivery COGS (support, reporting, security) at 25% of revenue.</x:t>
  </x:si>
  <x:si>
    <x:t xml:space="preserve">Read this: if the trough is deeper than your pre-seed, you raise more or deploy fewer nodes. The model is built to find that number, not hide it.</x:t>
  </x:si>
</x:sst>
</file>

<file path=xl/styles.xml><?xml version="1.0" encoding="utf-8"?>
<x:styleSheet xmlns:x="http://schemas.openxmlformats.org/spreadsheetml/2006/main">
  <x:numFmts count="7">
    <x:numFmt numFmtId="164" formatCode="General"/>
    <x:numFmt numFmtId="165" formatCode="#,##0;\(#,##0\);\-"/>
    <x:numFmt numFmtId="166" formatCode="\$#,##0;&quot;($&quot;#,##0\);\-"/>
    <x:numFmt numFmtId="167" formatCode="0.0%;\(0.0%\);\-"/>
    <x:numFmt numFmtId="200" formatCode="0"/>
    <x:numFmt numFmtId="201" formatCode="0.0%"/>
    <x:numFmt numFmtId="202" formatCode="$#,##0;[Red]($#,##0);-"/>
  </x:numFmts>
  <x:fonts count="18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14304A"/>
      <x:name val="Arial"/>
    </x:font>
    <x:font>
      <x:i/>
      <x:sz val="9"/>
      <x:color rgb="5F5E5A"/>
      <x:name val="Arial"/>
    </x:font>
    <x:font>
      <x:b/>
      <x:sz val="10"/>
      <x:name val="Arial"/>
    </x:font>
    <x:font>
      <x:sz val="10"/>
      <x:color rgb="0000FF"/>
      <x:name val="Arial"/>
    </x:font>
    <x:font>
      <x:sz val="10"/>
      <x:color rgb="000000"/>
      <x:name val="Arial"/>
    </x:font>
    <x:font>
      <x:b/>
      <x:sz val="10"/>
      <x:color rgb="FFFFFF"/>
      <x:name val="Arial"/>
    </x:font>
    <x:font>
      <x:sz val="10"/>
      <x:name val="Arial"/>
    </x:font>
    <x:font>
      <x:sz val="10"/>
      <x:color rgb="008000"/>
      <x:name val="Arial"/>
    </x:font>
    <x:font>
      <x:b/>
      <x:sz val="11"/>
      <x:color rgb="FFFFFF"/>
      <x:name val="Calibri"/>
    </x:font>
    <x:font>
      <x:b/>
      <x:sz val="11"/>
      <x:color rgb="0000FF"/>
      <x:name val="Calibri"/>
    </x:font>
    <x:font>
      <x:sz val="11"/>
      <x:color rgb="0000FF"/>
      <x:name val="Calibri"/>
    </x:font>
    <x:font>
      <x:b/>
      <x:i/>
      <x:sz val="9"/>
      <x:color rgb="5F5E5A"/>
      <x:name val="Arial"/>
    </x:font>
    <x:font>
      <x:b/>
      <x:sz val="11"/>
      <x:color theme="1"/>
      <x:name val="Calibri"/>
    </x:font>
    <x:font>
      <x:b/>
      <x:sz val="14"/>
      <x:color rgb="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00"/>
      </x:patternFill>
    </x:fill>
    <x:fill>
      <x:patternFill patternType="solid">
        <x:fgColor rgb="14304A"/>
      </x:patternFill>
    </x:fill>
    <x:fill>
      <x:patternFill patternType="solid">
        <x:fgColor rgb="DCE6F1"/>
      </x:patternFill>
    </x:fill>
    <x:fill>
      <x:patternFill patternType="solid">
        <x:fgColor rgb="0E7F78"/>
      </x:patternFill>
    </x:fill>
    <x:fill>
      <x:patternFill patternType="solid">
        <x:fgColor rgb="F1EFE8"/>
      </x:patternFill>
    </x:fill>
    <x:fill>
      <x:patternFill patternType="solid">
        <x:fgColor rgb="D7E9D5"/>
      </x:patternFill>
    </x:fill>
    <x:fill>
      <x:patternFill patternType="solid">
        <x:fgColor rgb="0B1F33"/>
      </x:patternFill>
    </x:fill>
    <x:fill>
      <x:patternFill patternType="solid">
        <x:fgColor rgb="FFF2CC"/>
      </x:patternFill>
    </x:fill>
  </x:fills>
  <x:borders count="6">
    <x:border diagonalUp="0" diagonalDown="0"/>
    <x:border diagonalUp="0" diagonalDown="0">
      <x:bottom style="thin">
        <x:color rgb="14304A"/>
      </x:bottom>
    </x:border>
    <x:border diagonalUp="0" diagonalDown="0"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  <x:border diagonalUp="0" diagonalDown="0"/>
    <x:border diagonalUp="0" diagonalDown="0">
      <x:bottom style="thin">
        <x:color rgb="14304A"/>
      </x:bottom>
    </x:border>
    <x:border diagonalUp="0" diagonalDown="0"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00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2" borderId="0" xfId="0" applyFont="1" applyBorder="0" applyAlignment="1">
      <x:alignment horizontal="center" vertical="bottom" wrapText="0"/>
    </x:xf>
    <x:xf numFmtId="164" fontId="8" fillId="0" borderId="0" xfId="0" applyFont="1" applyBorder="0" applyAlignment="0">
      <x:alignment horizontal="general" vertical="bottom" wrapText="0"/>
    </x:xf>
    <x:xf numFmtId="164" fontId="9" fillId="3" borderId="0" xfId="0" applyFont="1" applyBorder="0" applyAlignment="0">
      <x:alignment horizontal="general" vertical="bottom" wrapText="0"/>
    </x:xf>
    <x:xf numFmtId="164" fontId="0" fillId="3" borderId="0" xfId="0" applyFont="0" applyBorder="0" applyAlignment="0">
      <x:alignment horizontal="general" vertical="bottom" wrapText="0"/>
    </x:xf>
    <x:xf numFmtId="164" fontId="6" fillId="4" borderId="0" xfId="0" applyFont="1" applyBorder="0" applyAlignment="1">
      <x:alignment horizontal="center" vertical="bottom" wrapText="0"/>
    </x:xf>
    <x:xf numFmtId="164" fontId="9" fillId="5" borderId="0" xfId="0" applyFont="1" applyBorder="0" applyAlignment="0">
      <x:alignment horizontal="general" vertical="bottom" wrapText="0"/>
    </x:xf>
    <x:xf numFmtId="164" fontId="10" fillId="0" borderId="0" xfId="0" applyFont="1" applyBorder="0" applyAlignment="0">
      <x:alignment horizontal="general" vertical="bottom" wrapText="0"/>
    </x:xf>
    <x:xf numFmtId="165" fontId="7" fillId="0" borderId="0" xfId="0" applyFont="1" applyBorder="0" applyAlignment="0">
      <x:alignment horizontal="general" vertical="bottom" wrapText="0"/>
    </x:xf>
    <x:xf numFmtId="165" fontId="8" fillId="0" borderId="0" xfId="0" applyFont="1" applyBorder="0" applyAlignment="0">
      <x:alignment horizontal="general" vertical="bottom" wrapText="0"/>
    </x:xf>
    <x:xf numFmtId="166" fontId="7" fillId="0" borderId="0" xfId="0" applyFont="1" applyBorder="0" applyAlignment="0">
      <x:alignment horizontal="general" vertical="bottom" wrapText="0"/>
    </x:xf>
    <x:xf numFmtId="166" fontId="8" fillId="0" borderId="0" xfId="0" applyFont="1" applyBorder="0" applyAlignment="0">
      <x:alignment horizontal="general" vertical="bottom" wrapText="0"/>
    </x:xf>
    <x:xf numFmtId="164" fontId="5" fillId="6" borderId="0" xfId="0" applyFont="1" applyBorder="0" applyAlignment="0">
      <x:alignment horizontal="general" vertical="bottom" wrapText="0"/>
    </x:xf>
    <x:xf numFmtId="167" fontId="7" fillId="0" borderId="0" xfId="0" applyFont="1" applyBorder="0" applyAlignment="0">
      <x:alignment horizontal="general" vertical="bottom" wrapText="0"/>
    </x:xf>
    <x:xf numFmtId="166" fontId="6" fillId="0" borderId="0" xfId="0" applyFont="1" applyBorder="0" applyAlignment="0">
      <x:alignment horizontal="general" vertical="bottom" wrapText="0"/>
    </x:xf>
    <x:xf numFmtId="166" fontId="6" fillId="7" borderId="0" xfId="0" applyFont="1" applyBorder="0" applyAlignment="0">
      <x:alignment horizontal="general" vertical="bottom" wrapText="0"/>
    </x:xf>
    <x:xf numFmtId="166" fontId="11" fillId="0" borderId="0" xfId="0" applyFont="1" applyBorder="0" applyAlignment="0">
      <x:alignment horizontal="general" vertical="bottom" wrapText="0"/>
    </x:xf>
    <x:xf numFmtId="166" fontId="6" fillId="0" borderId="1" xfId="0" applyFont="1" applyBorder="1" applyAlignment="0">
      <x:alignment horizontal="general" vertical="bottom" wrapText="0"/>
    </x:xf>
    <x:xf numFmtId="166" fontId="6" fillId="6" borderId="0" xfId="0" applyFont="1" applyBorder="0" applyAlignment="0">
      <x:alignment horizontal="general" vertical="bottom" wrapText="0"/>
    </x:xf>
    <x:xf numFmtId="164" fontId="11" fillId="6" borderId="2" xfId="0" applyFont="1" applyBorder="1" applyAlignment="0">
      <x:alignment horizontal="general" vertical="bottom" wrapText="0"/>
    </x:xf>
    <x:xf numFmtId="166" fontId="11" fillId="6" borderId="2" xfId="0" applyFont="1" applyBorder="1" applyAlignment="0">
      <x:alignment horizontal="general" vertical="bottom" wrapText="0"/>
    </x:xf>
    <x:xf numFmtId="165" fontId="11" fillId="6" borderId="2" xfId="0" applyFont="1" applyBorder="1" applyAlignment="0">
      <x:alignment horizontal="general" vertical="bottom" wrapText="0"/>
    </x:xf>
    <x:xf numFmtId="164" fontId="5" fillId="2" borderId="0" xfId="0" applyFont="1" applyBorder="0" applyAlignment="0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0" borderId="3" xfId="0" applyNumberFormat="1" applyFont="1" applyFill="1" applyBorder="1" applyAlignment="1">
      <x:alignment horizontal="general" vertical="bottom" wrapText="0"/>
    </x:xf>
    <x:xf numFmtId="164" fontId="5" fillId="0" borderId="3" xfId="0" applyNumberFormat="1" applyFont="1" applyFill="1" applyBorder="1" applyAlignment="1">
      <x:alignment horizontal="general" vertical="bottom" wrapText="0"/>
    </x:xf>
    <x:xf numFmtId="164" fontId="6" fillId="0" borderId="3" xfId="0" applyNumberFormat="1" applyFont="1" applyFill="1" applyBorder="1" applyAlignment="1">
      <x:alignment horizontal="general" vertical="bottom" wrapText="0"/>
    </x:xf>
    <x:xf numFmtId="164" fontId="7" fillId="2" borderId="3" xfId="0" applyNumberFormat="1" applyFont="1" applyFill="1" applyBorder="1" applyAlignment="1">
      <x:alignment horizontal="center" vertical="bottom" wrapText="0"/>
    </x:xf>
    <x:xf numFmtId="164" fontId="8" fillId="0" borderId="3" xfId="0" applyNumberFormat="1" applyFont="1" applyFill="1" applyBorder="1" applyAlignment="1">
      <x:alignment horizontal="general" vertical="bottom" wrapText="0"/>
    </x:xf>
    <x:xf numFmtId="164" fontId="9" fillId="3" borderId="3" xfId="0" applyNumberFormat="1" applyFont="1" applyFill="1" applyBorder="1" applyAlignment="1">
      <x:alignment horizontal="general" vertical="bottom" wrapText="0"/>
    </x:xf>
    <x:xf numFmtId="164" fontId="0" fillId="3" borderId="3" xfId="0" applyNumberFormat="1" applyFont="1" applyFill="1" applyBorder="1" applyAlignment="1">
      <x:alignment horizontal="general" vertical="bottom" wrapText="0"/>
    </x:xf>
    <x:xf numFmtId="164" fontId="6" fillId="4" borderId="3" xfId="0" applyNumberFormat="1" applyFont="1" applyFill="1" applyBorder="1" applyAlignment="1">
      <x:alignment horizontal="center" vertical="bottom" wrapText="0"/>
    </x:xf>
    <x:xf numFmtId="164" fontId="9" fillId="5" borderId="3" xfId="0" applyNumberFormat="1" applyFont="1" applyFill="1" applyBorder="1" applyAlignment="1">
      <x:alignment horizontal="general" vertical="bottom" wrapText="0"/>
    </x:xf>
    <x:xf numFmtId="164" fontId="1" fillId="0" borderId="3" xfId="0" applyNumberFormat="1" applyFont="1" applyFill="1" applyBorder="1" applyAlignment="1">
      <x:alignment horizontal="general" vertical="bottom" wrapText="0"/>
    </x:xf>
    <x:xf numFmtId="165" fontId="7" fillId="0" borderId="3" xfId="0" applyNumberFormat="1" applyFont="1" applyFill="1" applyBorder="1" applyAlignment="1">
      <x:alignment horizontal="general" vertical="bottom" wrapText="0"/>
    </x:xf>
    <x:xf numFmtId="165" fontId="8" fillId="0" borderId="3" xfId="0" applyNumberFormat="1" applyFont="1" applyFill="1" applyBorder="1" applyAlignment="1">
      <x:alignment horizontal="general" vertical="bottom" wrapText="0"/>
    </x:xf>
    <x:xf numFmtId="166" fontId="7" fillId="0" borderId="3" xfId="0" applyNumberFormat="1" applyFont="1" applyFill="1" applyBorder="1" applyAlignment="1">
      <x:alignment horizontal="general" vertical="bottom" wrapText="0"/>
    </x:xf>
    <x:xf numFmtId="166" fontId="8" fillId="0" borderId="3" xfId="0" applyNumberFormat="1" applyFont="1" applyFill="1" applyBorder="1" applyAlignment="1">
      <x:alignment horizontal="general" vertical="bottom" wrapText="0"/>
    </x:xf>
    <x:xf numFmtId="164" fontId="5" fillId="6" borderId="3" xfId="0" applyNumberFormat="1" applyFont="1" applyFill="1" applyBorder="1" applyAlignment="1">
      <x:alignment horizontal="general" vertical="bottom" wrapText="0"/>
    </x:xf>
    <x:xf numFmtId="167" fontId="7" fillId="0" borderId="3" xfId="0" applyNumberFormat="1" applyFont="1" applyFill="1" applyBorder="1" applyAlignment="1">
      <x:alignment horizontal="general" vertical="bottom" wrapText="0"/>
    </x:xf>
    <x:xf numFmtId="166" fontId="6" fillId="0" borderId="3" xfId="0" applyNumberFormat="1" applyFont="1" applyFill="1" applyBorder="1" applyAlignment="1">
      <x:alignment horizontal="general" vertical="bottom" wrapText="0"/>
    </x:xf>
    <x:xf numFmtId="166" fontId="6" fillId="7" borderId="3" xfId="0" applyNumberFormat="1" applyFont="1" applyFill="1" applyBorder="1" applyAlignment="1">
      <x:alignment horizontal="general" vertical="bottom" wrapText="0"/>
    </x:xf>
    <x:xf numFmtId="166" fontId="11" fillId="0" borderId="3" xfId="0" applyNumberFormat="1" applyFont="1" applyFill="1" applyBorder="1" applyAlignment="1">
      <x:alignment horizontal="general" vertical="bottom" wrapText="0"/>
    </x:xf>
    <x:xf numFmtId="166" fontId="6" fillId="0" borderId="4" xfId="0" applyNumberFormat="1" applyFont="1" applyFill="1" applyBorder="1" applyAlignment="1">
      <x:alignment horizontal="general" vertical="bottom" wrapText="0"/>
    </x:xf>
    <x:xf numFmtId="166" fontId="6" fillId="6" borderId="3" xfId="0" applyNumberFormat="1" applyFont="1" applyFill="1" applyBorder="1" applyAlignment="1">
      <x:alignment horizontal="general" vertical="bottom" wrapText="0"/>
    </x:xf>
    <x:xf numFmtId="164" fontId="11" fillId="6" borderId="5" xfId="0" applyNumberFormat="1" applyFont="1" applyFill="1" applyBorder="1" applyAlignment="1">
      <x:alignment horizontal="general" vertical="bottom" wrapText="0"/>
    </x:xf>
    <x:xf numFmtId="166" fontId="11" fillId="6" borderId="5" xfId="0" applyNumberFormat="1" applyFont="1" applyFill="1" applyBorder="1" applyAlignment="1">
      <x:alignment horizontal="general" vertical="bottom" wrapText="0"/>
    </x:xf>
    <x:xf numFmtId="165" fontId="11" fillId="6" borderId="5" xfId="0" applyNumberFormat="1" applyFont="1" applyFill="1" applyBorder="1" applyAlignment="1">
      <x:alignment horizontal="general" vertical="bottom" wrapText="0"/>
    </x:xf>
    <x:xf numFmtId="164" fontId="5" fillId="2" borderId="3" xfId="0" applyNumberFormat="1" applyFont="1" applyFill="1" applyBorder="1" applyAlignment="1">
      <x:alignment horizontal="general" vertical="bottom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2" fillId="8" borderId="0" xfId="0" applyNumberFormat="1" applyFont="1" applyFill="1" applyBorder="1" applyAlignment="1">
      <x:alignment horizontal="general" vertical="bottom" wrapText="0"/>
    </x:xf>
    <x:xf numFmtId="164" fontId="0" fillId="8" borderId="3" xfId="0" applyNumberFormat="1" applyFont="1" applyFill="1" applyBorder="1" applyAlignment="1">
      <x:alignment horizontal="general" vertical="bottom" wrapText="0"/>
    </x:xf>
    <x:xf numFmtId="164" fontId="12" fillId="8" borderId="3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13" fillId="0" borderId="0" xfId="0" applyNumberFormat="1" applyFont="1" applyFill="1" applyBorder="1" applyAlignment="1">
      <x:alignment horizontal="general" vertical="bottom" wrapText="1"/>
    </x:xf>
    <x:xf numFmtId="164" fontId="13" fillId="0" borderId="3" xfId="0" applyNumberFormat="1" applyFont="1" applyFill="1" applyBorder="1" applyAlignment="1">
      <x:alignment horizontal="general" vertical="bottom" wrapText="1"/>
    </x:xf>
    <x:xf numFmtId="164" fontId="14" fillId="0" borderId="0" xfId="0" applyNumberFormat="1" applyFont="1" applyFill="1" applyBorder="1" applyAlignment="1">
      <x:alignment horizontal="general" vertical="bottom" wrapText="1"/>
    </x:xf>
    <x:xf numFmtId="164" fontId="14" fillId="0" borderId="3" xfId="0" applyNumberFormat="1" applyFont="1" applyFill="1" applyBorder="1" applyAlignment="1">
      <x:alignment horizontal="general" vertical="bottom" wrapText="1"/>
    </x:xf>
    <x:xf numFmtId="164" fontId="5" fillId="6" borderId="0" xfId="0" applyNumberFormat="1" applyFont="1" applyFill="1" applyBorder="1" applyAlignment="1">
      <x:alignment horizontal="general" vertical="bottom" wrapText="1"/>
    </x:xf>
    <x:xf numFmtId="164" fontId="5" fillId="6" borderId="3" xfId="0" applyNumberFormat="1" applyFont="1" applyFill="1" applyBorder="1" applyAlignment="1">
      <x:alignment horizontal="general" vertical="bottom" wrapText="1"/>
    </x:xf>
    <x:xf numFmtId="164" fontId="5" fillId="9" borderId="0" xfId="0" applyNumberFormat="1" applyFont="1" applyFill="1" applyBorder="1" applyAlignment="1">
      <x:alignment horizontal="general" vertical="bottom" wrapText="1"/>
    </x:xf>
    <x:xf numFmtId="164" fontId="0" fillId="9" borderId="0" xfId="0" applyNumberFormat="1" applyFont="1" applyFill="1" applyBorder="1" applyAlignment="1">
      <x:alignment horizontal="general" vertical="bottom" wrapText="1"/>
    </x:xf>
    <x:xf numFmtId="164" fontId="15" fillId="9" borderId="0" xfId="0" applyNumberFormat="1" applyFont="1" applyFill="1" applyBorder="1" applyAlignment="1">
      <x:alignment horizontal="general" vertical="bottom" wrapText="1"/>
    </x:xf>
    <x:xf numFmtId="164" fontId="16" fillId="9" borderId="0" xfId="0" applyNumberFormat="1" applyFont="1" applyFill="1" applyBorder="1" applyAlignment="1">
      <x:alignment horizontal="general" vertical="bottom" wrapText="1"/>
    </x:xf>
    <x:xf numFmtId="164" fontId="5" fillId="9" borderId="3" xfId="0" applyNumberFormat="1" applyFont="1" applyFill="1" applyBorder="1" applyAlignment="1">
      <x:alignment horizontal="general" vertical="bottom" wrapText="1"/>
    </x:xf>
    <x:xf numFmtId="164" fontId="0" fillId="9" borderId="3" xfId="0" applyNumberFormat="1" applyFont="1" applyFill="1" applyBorder="1" applyAlignment="1">
      <x:alignment horizontal="general" vertical="bottom" wrapText="1"/>
    </x:xf>
    <x:xf numFmtId="164" fontId="15" fillId="9" borderId="3" xfId="0" applyNumberFormat="1" applyFont="1" applyFill="1" applyBorder="1" applyAlignment="1">
      <x:alignment horizontal="general" vertical="bottom" wrapText="1"/>
    </x:xf>
    <x:xf numFmtId="164" fontId="16" fillId="9" borderId="3" xfId="0" applyNumberFormat="1" applyFont="1" applyFill="1" applyBorder="1" applyAlignment="1">
      <x:alignment horizontal="general" vertical="bottom" wrapText="1"/>
    </x:xf>
    <x:xf numFmtId="166" fontId="7" fillId="9" borderId="0" xfId="0" applyNumberFormat="1" applyFont="1" applyFill="1" applyBorder="1" applyAlignment="1">
      <x:alignment horizontal="general" vertical="bottom" wrapText="0"/>
    </x:xf>
    <x:xf numFmtId="165" fontId="7" fillId="9" borderId="0" xfId="0" applyNumberFormat="1" applyFont="1" applyFill="1" applyBorder="1" applyAlignment="1">
      <x:alignment horizontal="general" vertical="bottom" wrapText="0"/>
    </x:xf>
    <x:xf numFmtId="166" fontId="7" fillId="9" borderId="3" xfId="0" applyNumberFormat="1" applyFont="1" applyFill="1" applyBorder="1" applyAlignment="1">
      <x:alignment horizontal="general" vertical="bottom" wrapText="0"/>
    </x:xf>
    <x:xf numFmtId="165" fontId="7" fillId="9" borderId="3" xfId="0" applyNumberFormat="1" applyFont="1" applyFill="1" applyBorder="1" applyAlignment="1">
      <x:alignment horizontal="general" vertical="bottom" wrapText="0"/>
    </x:xf>
    <x:xf numFmtId="200" fontId="7" fillId="0" borderId="0" xfId="0" applyNumberFormat="1" applyFont="1" applyFill="1" applyBorder="1" applyAlignment="1">
      <x:alignment horizontal="general" vertical="bottom" wrapText="0"/>
    </x:xf>
    <x:xf numFmtId="200" fontId="7" fillId="9" borderId="0" xfId="0" applyNumberFormat="1" applyFont="1" applyFill="1" applyBorder="1" applyAlignment="1">
      <x:alignment horizontal="general" vertical="bottom" wrapText="0"/>
    </x:xf>
    <x:xf numFmtId="200" fontId="7" fillId="0" borderId="3" xfId="0" applyNumberFormat="1" applyFont="1" applyFill="1" applyBorder="1" applyAlignment="1">
      <x:alignment horizontal="general" vertical="bottom" wrapText="0"/>
    </x:xf>
    <x:xf numFmtId="200" fontId="7" fillId="9" borderId="3" xfId="0" applyNumberFormat="1" applyFont="1" applyFill="1" applyBorder="1" applyAlignment="1">
      <x:alignment horizontal="general" vertical="bottom" wrapText="0"/>
    </x:xf>
    <x:xf numFmtId="201" fontId="0" fillId="0" borderId="0" xfId="0" applyNumberFormat="1" applyFont="1" applyFill="1" applyBorder="1" applyAlignment="1">
      <x:alignment horizontal="general" vertical="bottom" wrapText="0"/>
    </x:xf>
    <x:xf numFmtId="201" fontId="7" fillId="0" borderId="0" xfId="0" applyNumberFormat="1" applyFont="1" applyFill="1" applyBorder="1" applyAlignment="1">
      <x:alignment horizontal="general" vertical="bottom" wrapText="0"/>
    </x:xf>
    <x:xf numFmtId="201" fontId="0" fillId="0" borderId="3" xfId="0" applyNumberFormat="1" applyFont="1" applyFill="1" applyBorder="1" applyAlignment="1">
      <x:alignment horizontal="general" vertical="bottom" wrapText="0"/>
    </x:xf>
    <x:xf numFmtId="201" fontId="7" fillId="0" borderId="3" xfId="0" applyNumberFormat="1" applyFont="1" applyFill="1" applyBorder="1" applyAlignment="1">
      <x:alignment horizontal="general" vertical="bottom" wrapText="0"/>
    </x:xf>
    <x:xf numFmtId="164" fontId="9" fillId="8" borderId="0" xfId="0" applyNumberFormat="1" applyFont="1" applyFill="1" applyBorder="1" applyAlignment="1">
      <x:alignment horizontal="general" vertical="bottom" wrapText="0"/>
    </x:xf>
    <x:xf numFmtId="164" fontId="9" fillId="8" borderId="3" xfId="0" applyNumberFormat="1" applyFont="1" applyFill="1" applyBorder="1" applyAlignment="1">
      <x:alignment horizontal="general" vertical="bottom" wrapText="0"/>
    </x:xf>
    <x:xf numFmtId="164" fontId="4" fillId="8" borderId="0" xfId="0" applyNumberFormat="1" applyFont="1" applyFill="1" applyBorder="1" applyAlignment="1">
      <x:alignment horizontal="general" vertical="bottom" wrapText="0"/>
    </x:xf>
    <x:xf numFmtId="164" fontId="17" fillId="8" borderId="0" xfId="0" applyNumberFormat="1" applyFont="1" applyFill="1" applyBorder="1" applyAlignment="1">
      <x:alignment horizontal="general" vertical="bottom" wrapText="0"/>
    </x:xf>
    <x:xf numFmtId="164" fontId="4" fillId="8" borderId="3" xfId="0" applyNumberFormat="1" applyFont="1" applyFill="1" applyBorder="1" applyAlignment="1">
      <x:alignment horizontal="general" vertical="bottom" wrapText="0"/>
    </x:xf>
    <x:xf numFmtId="164" fontId="17" fillId="8" borderId="3" xfId="0" applyNumberFormat="1" applyFont="1" applyFill="1" applyBorder="1" applyAlignment="1">
      <x:alignment horizontal="general" vertical="bottom" wrapText="0"/>
    </x:xf>
    <x:xf numFmtId="164" fontId="1" fillId="0" borderId="0" xfId="0" applyNumberFormat="1" applyFont="1" applyFill="1" applyBorder="1" applyAlignment="1">
      <x:alignment horizontal="general" vertical="bottom" wrapText="1"/>
    </x:xf>
    <x:xf numFmtId="164" fontId="11" fillId="6" borderId="2" xfId="0" applyNumberFormat="1" applyFont="1" applyFill="1" applyBorder="1" applyAlignment="1">
      <x:alignment horizontal="general" vertical="bottom" wrapText="1"/>
    </x:xf>
    <x:xf numFmtId="166" fontId="11" fillId="6" borderId="2" xfId="0" applyNumberFormat="1" applyFont="1" applyFill="1" applyBorder="1" applyAlignment="1">
      <x:alignment horizontal="general" vertical="bottom" wrapText="1"/>
    </x:xf>
    <x:xf numFmtId="165" fontId="11" fillId="6" borderId="2" xfId="0" applyNumberFormat="1" applyFont="1" applyFill="1" applyBorder="1" applyAlignment="1">
      <x:alignment horizontal="general" vertical="bottom" wrapText="1"/>
    </x:xf>
    <x:xf numFmtId="164" fontId="1" fillId="0" borderId="3" xfId="0" applyNumberFormat="1" applyFont="1" applyFill="1" applyBorder="1" applyAlignment="1">
      <x:alignment horizontal="general" vertical="bottom" wrapText="1"/>
    </x:xf>
    <x:xf numFmtId="164" fontId="11" fillId="6" borderId="5" xfId="0" applyNumberFormat="1" applyFont="1" applyFill="1" applyBorder="1" applyAlignment="1">
      <x:alignment horizontal="general" vertical="bottom" wrapText="1"/>
    </x:xf>
    <x:xf numFmtId="166" fontId="11" fillId="6" borderId="5" xfId="0" applyNumberFormat="1" applyFont="1" applyFill="1" applyBorder="1" applyAlignment="1">
      <x:alignment horizontal="general" vertical="bottom" wrapText="1"/>
    </x:xf>
    <x:xf numFmtId="165" fontId="11" fillId="6" borderId="5" xfId="0" applyNumberFormat="1" applyFont="1" applyFill="1" applyBorder="1" applyAlignment="1">
      <x:alignment horizontal="general" vertical="bottom" wrapText="1"/>
    </x:xf>
    <x:xf numFmtId="200" fontId="11" fillId="6" borderId="2" xfId="0" applyNumberFormat="1" applyFont="1" applyFill="1" applyBorder="1" applyAlignment="1">
      <x:alignment horizontal="general" vertical="bottom" wrapText="1"/>
    </x:xf>
    <x:xf numFmtId="202" fontId="11" fillId="6" borderId="2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E7F78"/>
      <x:rgbColor rgb="FFBFBFBF"/>
      <x:rgbColor rgb="FF808080"/>
      <x:rgbColor rgb="FF9999FF"/>
      <x:rgbColor rgb="FF993366"/>
      <x:rgbColor rgb="FFF1EFE8"/>
      <x:rgbColor rgb="FFDCE6F1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7E9D5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F5E5A"/>
      <x:rgbColor rgb="FF969696"/>
      <x:rgbColor rgb="FF14304A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49f29bce334218" /><Relationship Type="http://schemas.openxmlformats.org/officeDocument/2006/relationships/theme" Target="/xl/theme/theme1.xml" Id="R33b8c9c7ea03448a" /><Relationship Type="http://schemas.openxmlformats.org/officeDocument/2006/relationships/sharedStrings" Target="/xl/sharedStrings.xml" Id="Rd1685d92768a41f2" /><Relationship Type="http://schemas.openxmlformats.org/officeDocument/2006/relationships/worksheet" Target="/xl/worksheets/sheet1.xml" Id="R8eae4e65e1344285" /><Relationship Type="http://schemas.openxmlformats.org/officeDocument/2006/relationships/worksheet" Target="/xl/worksheets/sheet2.xml" Id="R82be3f8621184219" /><Relationship Type="http://schemas.openxmlformats.org/officeDocument/2006/relationships/worksheet" Target="/xl/worksheets/sheet3.xml" Id="Rb414615005814d8e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2" hidden="0" customWidth="1"/>
    <x:col min="3" max="7" width="13" hidden="0" customWidth="1"/>
    <x:col min="2" max="2" width="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17.350000381469727" hidden="0">
      <x:c r="A1" s="1" t="s">
        <x:v>0</x:v>
      </x:c>
    </x:row>
    <x:row r="2" ht="15" hidden="0">
      <x:c r="A2" s="2" t="s">
        <x:v>1</x:v>
      </x:c>
    </x:row>
    <x:row r="3" ht="15" hidden="0">
      <x:c r="A3" s="2" t="s">
        <x:v>2</x:v>
      </x:c>
    </x:row>
    <x:row r="5" ht="15" hidden="0">
      <x:c r="A5" s="3" t="s">
        <x:v>3</x:v>
      </x:c>
      <x:c r="D5" s="4" t="n">
        <x:v>2</x:v>
      </x:c>
      <x:c r="E5" s="5" t="str">
        <x:f aca="0">CHOOSE(D5,"Conservative","Base","Upside")</x:f>
        <x:v>Base</x:v>
      </x:c>
    </x:row>
    <x:row r="7" ht="15" hidden="0">
      <x:c r="A7" s="6" t="s">
        <x:v>4</x:v>
      </x:c>
      <x:c r="B7" s="7"/>
      <x:c r="C7" s="7"/>
      <x:c r="D7" s="7"/>
      <x:c r="E7" s="7"/>
      <x:c r="F7" s="7"/>
    </x:row>
    <x:row r="8" ht="15" hidden="0">
      <x:c r="C8" s="8" t="s">
        <x:v>5</x:v>
      </x:c>
      <x:c r="D8" s="8" t="s">
        <x:v>6</x:v>
      </x:c>
      <x:c r="E8" s="8" t="s">
        <x:v>7</x:v>
      </x:c>
      <x:c r="G8" s="9" t="s">
        <x:v>8</x:v>
      </x:c>
    </x:row>
    <x:row r="9" ht="15" hidden="0">
      <x:c r="A9" s="10" t="s">
        <x:v>9</x:v>
      </x:c>
      <x:c r="C9" s="76" t="n">
        <x:v>15</x:v>
      </x:c>
      <x:c r="D9" s="76" t="n">
        <x:v>12</x:v>
      </x:c>
      <x:c r="E9" s="76" t="n">
        <x:v>9</x:v>
      </x:c>
      <x:c r="G9" s="12" t="n">
        <x:f aca="0">CHOOSE($D$5,C9,D9,E9)</x:f>
        <x:v>12</x:v>
      </x:c>
    </x:row>
    <x:row r="10" ht="15" hidden="0">
      <x:c r="A10" s="10" t="s">
        <x:v>10</x:v>
      </x:c>
      <x:c r="C10" s="76" t="n">
        <x:v>120000</x:v>
      </x:c>
      <x:c r="D10" s="76" t="n">
        <x:v>180000</x:v>
      </x:c>
      <x:c r="E10" s="76" t="n">
        <x:v>260000</x:v>
      </x:c>
      <x:c r="G10" s="14" t="n">
        <x:f aca="0">CHOOSE($D$5,C10,D10,E10)</x:f>
        <x:v>180000</x:v>
      </x:c>
    </x:row>
    <x:row r="11" ht="15" hidden="0">
      <x:c r="A11" s="10" t="s">
        <x:v>11</x:v>
      </x:c>
      <x:c r="C11" s="76" t="n">
        <x:v>24</x:v>
      </x:c>
      <x:c r="D11" s="76" t="n">
        <x:v>20</x:v>
      </x:c>
      <x:c r="E11" s="76" t="n">
        <x:v>16</x:v>
      </x:c>
      <x:c r="G11" s="12" t="n">
        <x:f aca="0">CHOOSE($D$5,C11,D11,E11)</x:f>
        <x:v>20</x:v>
      </x:c>
    </x:row>
    <x:row r="12" ht="15" hidden="0">
      <x:c r="A12" s="10" t="s">
        <x:v>12</x:v>
      </x:c>
      <x:c r="C12" s="76" t="n">
        <x:v>0</x:v>
      </x:c>
      <x:c r="D12" s="76" t="n">
        <x:v>150000</x:v>
      </x:c>
      <x:c r="E12" s="76" t="n">
        <x:v>350000</x:v>
      </x:c>
      <x:c r="G12" s="14" t="n">
        <x:f aca="0">CHOOSE($D$5,C12,D12,E12)</x:f>
        <x:v>150000</x:v>
      </x:c>
    </x:row>
    <x:row r="13" ht="15" hidden="0">
      <x:c r="A13" s="10" t="str">
        <x:v>Pre-seed raised (month 1)</x:v>
      </x:c>
      <x:c r="C13" s="77" t="n">
        <x:v>250000</x:v>
      </x:c>
      <x:c r="D13" s="77" t="n">
        <x:v>300000</x:v>
      </x:c>
      <x:c r="E13" s="77" t="n">
        <x:v>300000</x:v>
      </x:c>
      <x:c r="G13" s="14" t="n">
        <x:f aca="0">CHOOSE($D$5,C13,D13,E13)</x:f>
        <x:v>300000</x:v>
      </x:c>
    </x:row>
    <x:row r="14" ht="15" hidden="0">
      <x:c r="A14" s="10" t="str">
        <x:v>DIDG / eligible capability grant approved? (1=yes)</x:v>
      </x:c>
      <x:c r="C14" s="77" t="n">
        <x:v>0</x:v>
      </x:c>
      <x:c r="D14" s="77" t="n">
        <x:v>0</x:v>
      </x:c>
      <x:c r="E14" s="77" t="n">
        <x:v>1</x:v>
      </x:c>
      <x:c r="G14" s="12" t="n">
        <x:f aca="0">CHOOSE($D$5,C14,D14,E14)</x:f>
        <x:v>0</x:v>
      </x:c>
    </x:row>
    <x:row r="15" ht="15" hidden="0">
      <x:c r="A15" s="10" t="str">
        <x:v>Eligible DIDG / capability-uplift grant total</x:v>
      </x:c>
      <x:c r="C15" s="77" t="n">
        <x:v>0</x:v>
      </x:c>
      <x:c r="D15" s="77" t="n">
        <x:v>0</x:v>
      </x:c>
      <x:c r="E15" s="77" t="n">
        <x:v>250000</x:v>
      </x:c>
      <x:c r="G15" s="14" t="n">
        <x:f aca="0">CHOOSE($D$5,C15,D15,E15)</x:f>
        <x:v>0</x:v>
      </x:c>
    </x:row>
    <x:row r="16" ht="15" hidden="0">
      <x:c r="A16" s="10" t="str">
        <x:v>Eligible DIDG first payment — month #</x:v>
      </x:c>
      <x:c r="C16" s="77" t="n">
        <x:v>99</x:v>
      </x:c>
      <x:c r="D16" s="77" t="n">
        <x:v>99</x:v>
      </x:c>
      <x:c r="E16" s="77" t="n">
        <x:v>18</x:v>
      </x:c>
      <x:c r="G16" s="12" t="n">
        <x:f aca="0">CHOOSE($D$5,C16,D16,E16)</x:f>
        <x:v>99</x:v>
      </x:c>
    </x:row>
    <x:row r="17" ht="15" hidden="0">
      <x:c r="A17" s="10" t="s">
        <x:v>13</x:v>
      </x:c>
      <x:c r="C17" s="76" t="n">
        <x:v>2</x:v>
      </x:c>
      <x:c r="D17" s="76" t="n">
        <x:v>3</x:v>
      </x:c>
      <x:c r="E17" s="76" t="n">
        <x:v>4</x:v>
      </x:c>
      <x:c r="G17" s="12" t="n">
        <x:f aca="0">CHOOSE($D$5,C17,D17,E17)</x:f>
        <x:v>3</x:v>
      </x:c>
    </x:row>
    <x:row r="18" ht="15" hidden="0">
      <x:c r="A18" s="10" t="s">
        <x:v>14</x:v>
      </x:c>
      <x:c r="C18" s="76" t="n">
        <x:v>0</x:v>
      </x:c>
      <x:c r="D18" s="76" t="n">
        <x:v>1</x:v>
      </x:c>
      <x:c r="E18" s="76" t="n">
        <x:v>2</x:v>
      </x:c>
      <x:c r="G18" s="12" t="n">
        <x:f aca="0">CHOOSE($D$5,C18,D18,E18)</x:f>
        <x:v>1</x:v>
      </x:c>
    </x:row>
    <x:row r="20" ht="15" hidden="0">
      <x:c r="A20" s="66" t="str">
        <x:v>Note: DIDG is NOT modelled as core R&amp;D/prototyping funding. Base case excludes it; upside treats it as later eligible capability/security/skilling/equipment uplift only.</x:v>
      </x:c>
      <x:c r="B20" s="67"/>
      <x:c r="C20" s="67"/>
      <x:c r="D20" s="67"/>
      <x:c r="E20" s="67"/>
      <x:c r="F20" s="67"/>
      <x:c r="G20" s="67"/>
    </x:row>
    <x:row r="22" ht="15" hidden="0">
      <x:c r="A22" s="6" t="s">
        <x:v>15</x:v>
      </x:c>
      <x:c r="B22" s="7"/>
      <x:c r="C22" s="7"/>
      <x:c r="D22" s="7"/>
      <x:c r="E22" s="7"/>
      <x:c r="F22" s="7"/>
    </x:row>
    <x:row r="23" ht="15" hidden="0">
      <x:c r="A23" s="10" t="s">
        <x:v>16</x:v>
      </x:c>
      <x:c r="D23" s="13" t="n">
        <x:v>3500</x:v>
      </x:c>
    </x:row>
    <x:row r="24" ht="15" hidden="0">
      <x:c r="A24" s="10" t="s">
        <x:v>17</x:v>
      </x:c>
      <x:c r="D24" s="13" t="n">
        <x:v>5500</x:v>
      </x:c>
    </x:row>
    <x:row r="25" ht="15" hidden="0">
      <x:c r="A25" s="10" t="s">
        <x:v>18</x:v>
      </x:c>
      <x:c r="D25" s="11" t="n">
        <x:v>13</x:v>
      </x:c>
    </x:row>
    <x:row r="26" ht="15" hidden="0">
      <x:c r="A26" s="10" t="s">
        <x:v>19</x:v>
      </x:c>
      <x:c r="D26" s="13" t="n">
        <x:v>9500</x:v>
      </x:c>
    </x:row>
    <x:row r="27" ht="15" hidden="0">
      <x:c r="A27" s="10" t="s">
        <x:v>20</x:v>
      </x:c>
      <x:c r="D27" s="11" t="n">
        <x:v>19</x:v>
      </x:c>
    </x:row>
    <x:row r="28" ht="15" hidden="0">
      <x:c r="A28" s="10" t="s">
        <x:v>21</x:v>
      </x:c>
      <x:c r="D28" s="13" t="n">
        <x:v>1200</x:v>
      </x:c>
    </x:row>
    <x:row r="29" ht="15" hidden="0">
      <x:c r="A29" s="10" t="s">
        <x:v>22</x:v>
      </x:c>
      <x:c r="D29" s="13" t="n">
        <x:v>2500</x:v>
      </x:c>
    </x:row>
    <x:row r="30" ht="15" hidden="0">
      <x:c r="A30" s="10" t="s">
        <x:v>23</x:v>
      </x:c>
      <x:c r="C30" s="80"/>
      <x:c r="D30" s="81" t="n">
        <x:v>450</x:v>
      </x:c>
      <x:c r="E30" s="80"/>
    </x:row>
    <x:row r="31" ht="15" hidden="0">
      <x:c r="A31" s="10" t="s">
        <x:v>24</x:v>
      </x:c>
      <x:c r="C31" s="80"/>
      <x:c r="D31" s="81" t="n">
        <x:v>0.25</x:v>
      </x:c>
      <x:c r="E31" s="80"/>
    </x:row>
    <x:row r="32" ht="15" hidden="0">
      <x:c r="A32" s="10" t="str">
        <x:v>R&amp;D Tax Incentive refundable rate (if eligible)</x:v>
      </x:c>
      <x:c r="C32" s="80"/>
      <x:c r="D32" s="81" t="n">
        <x:v>0.435</x:v>
      </x:c>
      <x:c r="E32" s="80"/>
    </x:row>
    <x:row r="33" ht="15" hidden="0">
      <x:c r="A33" s="10" t="str">
        <x:v>RDTI received in arrears — month #</x:v>
      </x:c>
      <x:c r="C33" s="80"/>
      <x:c r="D33" s="81" t="n">
        <x:v>22</x:v>
      </x:c>
      <x:c r="E33" s="80"/>
    </x:row>
    <x:row r="34" ht="15" hidden="0">
      <x:c r="A34" s="10" t="str">
        <x:v>R&amp;D-eligible % of cash opex (self-assessed)</x:v>
      </x:c>
      <x:c r="C34" s="80"/>
      <x:c r="D34" s="81" t="n">
        <x:v>0.55</x:v>
      </x:c>
      <x:c r="E34" s="80"/>
    </x:row>
    <x:row r="36" ht="15" hidden="0">
      <x:c r="A36" s="6" t="s">
        <x:v>25</x:v>
      </x:c>
      <x:c r="B36" s="7"/>
      <x:c r="C36" s="7"/>
      <x:c r="D36" s="7"/>
      <x:c r="E36" s="7"/>
      <x:c r="F36" s="7"/>
    </x:row>
    <x:row r="37" ht="15" hidden="0">
      <x:c r="C37" s="8" t="s">
        <x:v>26</x:v>
      </x:c>
      <x:c r="D37" s="8" t="s">
        <x:v>27</x:v>
      </x:c>
    </x:row>
    <x:row r="38" ht="15" hidden="0">
      <x:c r="A38" s="10" t="s">
        <x:v>28</x:v>
      </x:c>
      <x:c r="C38" s="13" t="n">
        <x:v>2500</x:v>
      </x:c>
      <x:c r="D38" s="13" t="n">
        <x:v>2500</x:v>
      </x:c>
    </x:row>
    <x:row r="39" ht="15" hidden="0">
      <x:c r="A39" s="10" t="s">
        <x:v>29</x:v>
      </x:c>
      <x:c r="C39" s="13" t="n">
        <x:v>400</x:v>
      </x:c>
      <x:c r="D39" s="13" t="n">
        <x:v>400</x:v>
      </x:c>
    </x:row>
    <x:row r="40" ht="15" hidden="0">
      <x:c r="A40" s="10" t="s">
        <x:v>30</x:v>
      </x:c>
      <x:c r="C40" s="13" t="n">
        <x:v>900</x:v>
      </x:c>
      <x:c r="D40" s="13" t="n">
        <x:v>900</x:v>
      </x:c>
    </x:row>
    <x:row r="41" ht="15" hidden="0">
      <x:c r="A41" s="10" t="s">
        <x:v>31</x:v>
      </x:c>
      <x:c r="C41" s="13" t="n">
        <x:v>500</x:v>
      </x:c>
      <x:c r="D41" s="13" t="n">
        <x:v>4000</x:v>
      </x:c>
    </x:row>
    <x:row r="42" ht="15" hidden="0">
      <x:c r="A42" s="10" t="s">
        <x:v>32</x:v>
      </x:c>
      <x:c r="C42" s="13" t="n">
        <x:v>0</x:v>
      </x:c>
      <x:c r="D42" s="13" t="n">
        <x:v>1200</x:v>
      </x:c>
    </x:row>
    <x:row r="43" ht="15" hidden="0">
      <x:c r="A43" s="10" t="s">
        <x:v>33</x:v>
      </x:c>
      <x:c r="C43" s="13" t="n">
        <x:v>1000</x:v>
      </x:c>
      <x:c r="D43" s="13" t="n">
        <x:v>1200</x:v>
      </x:c>
    </x:row>
    <x:row r="44" ht="15" hidden="0">
      <x:c r="A44" s="10" t="s">
        <x:v>34</x:v>
      </x:c>
      <x:c r="C44" s="13" t="n">
        <x:v>0</x:v>
      </x:c>
      <x:c r="D44" s="13" t="n">
        <x:v>6000</x:v>
      </x:c>
    </x:row>
    <x:row r="45" ht="15" hidden="0">
      <x:c r="A45" s="10" t="s">
        <x:v>35</x:v>
      </x:c>
      <x:c r="C45" s="13" t="n">
        <x:v>400</x:v>
      </x:c>
      <x:c r="D45" s="13" t="n">
        <x:v>1500</x:v>
      </x:c>
    </x:row>
    <x:row r="46" ht="15" hidden="0">
      <x:c r="A46" s="10" t="s">
        <x:v>36</x:v>
      </x:c>
      <x:c r="C46" s="13" t="n">
        <x:v>2000</x:v>
      </x:c>
      <x:c r="D46" s="13" t="n">
        <x:v>8000</x:v>
      </x:c>
    </x:row>
    <x:row r="47" ht="15" hidden="0">
      <x:c r="A47" s="10" t="s">
        <x:v>37</x:v>
      </x:c>
      <x:c r="C47" s="13" t="n">
        <x:v>0</x:v>
      </x:c>
      <x:c r="D47" s="13" t="n">
        <x:v>2000</x:v>
      </x:c>
    </x:row>
    <x:row r="48" ht="15" hidden="0">
      <x:c r="A48" s="3" t="s">
        <x:v>38</x:v>
      </x:c>
      <x:c r="C48" s="17" t="n">
        <x:f aca="0">SUM(C38:C47)</x:f>
        <x:v>7700</x:v>
      </x:c>
      <x:c r="D48" s="17" t="n">
        <x:f aca="0">SUM(D38:D47)</x:f>
        <x:v>27700</x:v>
      </x:c>
    </x:row>
    <x:row r="49" ht="15" hidden="0">
      <x:c r="A49" s="10" t="s">
        <x:v>39</x:v>
      </x:c>
      <x:c r="C49" s="14" t="n">
        <x:f aca="0">C48*0.15</x:f>
        <x:v>1155</x:v>
      </x:c>
      <x:c r="D49" s="14" t="n">
        <x:f aca="0">D48*0.15</x:f>
        <x:v>4155</x:v>
      </x:c>
    </x:row>
    <x:row r="50" ht="15" hidden="0">
      <x:c r="A50" s="3" t="s">
        <x:v>40</x:v>
      </x:c>
      <x:c r="C50" s="18" t="n">
        <x:f aca="0">C48+C49</x:f>
        <x:v>8855</x:v>
      </x:c>
      <x:c r="D50" s="18" t="n">
        <x:f aca="0">D48+D49</x:f>
        <x:v>31855</x:v>
      </x:c>
    </x:row>
    <x:row r="52">
      <x:c r="A52" s="53" t="str">
        <x:v>GRANT / COMPLIANCE CAVEATS</x:v>
      </x:c>
      <x:c r="B52" s="53"/>
      <x:c r="C52" s="53"/>
      <x:c r="D52" s="53"/>
      <x:c r="E52" s="53"/>
      <x:c r="F52" s="53"/>
      <x:c r="G52" s="53"/>
    </x:row>
    <x:row r="53">
      <x:c r="A53" s="58" t="str">
        <x:v>DIDG</x:v>
      </x:c>
      <x:c r="B53" s="56" t="str">
        <x:v>Do not treat as product R&amp;D/prototyping funding. Defence guidance says likely ineligible: product development/prototyping, undertaking R&amp;D, non-recurring engineering.</x:v>
      </x:c>
      <x:c r="C53" s="56"/>
      <x:c r="D53" s="56"/>
      <x:c r="E53" s="56"/>
      <x:c r="F53" s="56"/>
      <x:c r="G53" s="60" t="str">
        <x:v>https://www.defence.gov.au/business-industry/resources-support/defence-industry-development-grants-program</x:v>
      </x:c>
    </x:row>
    <x:row r="54">
      <x:c r="A54" s="58" t="str">
        <x:v>RDTI</x:v>
      </x:c>
      <x:c r="B54" s="56" t="str">
        <x:v>Refundable offset for companies under $20m turnover is corporate tax rate + 18.5% premium; claim timing is after registration/tax return, so modelled in arrears.</x:v>
      </x:c>
      <x:c r="C54" s="56"/>
      <x:c r="D54" s="56"/>
      <x:c r="E54" s="56"/>
      <x:c r="F54" s="56"/>
      <x:c r="G54" s="60" t="str">
        <x:v>https://business.gov.au/grants-and-programs/research-and-development-tax-incentive/overview-of-rd-tax-incentive</x:v>
      </x:c>
    </x:row>
    <x:row r="55">
      <x:c r="A55" s="58" t="str">
        <x:v>ASCA</x:v>
      </x:c>
      <x:c r="B55" s="56" t="str">
        <x:v>Not included in base case. Treat as upside after technical/customer validation.</x:v>
      </x:c>
      <x:c r="C55" s="56"/>
      <x:c r="D55" s="56"/>
      <x:c r="E55" s="56"/>
      <x:c r="F55" s="56"/>
      <x:c r="G55" s="60" t="str">
        <x:v>https://www.asca.gov.au/</x:v>
      </x:c>
    </x:row>
    <x:row r="56">
      <x:c r="A56" s="58" t="str">
        <x:v>Model stance</x:v>
      </x:c>
      <x:c r="B56" s="56" t="str">
        <x:v>Base case funds validation with pre-seed + pilot + RDTI only. DIDG appears only in upside scenario as capability uplift.</x:v>
      </x:c>
      <x:c r="C56" s="56"/>
      <x:c r="D56" s="56"/>
      <x:c r="E56" s="56"/>
      <x:c r="F56" s="56"/>
      <x:c r="G56" s="56"/>
    </x:row>
    <x:row r="57">
      <x:c r="A57" s="58"/>
      <x:c r="B57" s="56"/>
      <x:c r="C57" s="56"/>
      <x:c r="D57" s="56"/>
      <x:c r="E57" s="56"/>
      <x:c r="F57" s="56"/>
      <x:c r="G57" s="56"/>
    </x:row>
    <x:row r="58">
      <x:c r="A58" t="str">
        <x:v>Updated by</x:v>
      </x:c>
      <x:c r="B58" t="str">
        <x:v>ChatGPT, 12 Jun 2026</x:v>
      </x:c>
      <x:c r="C58"/>
      <x:c r="D58"/>
      <x:c r="E58"/>
      <x:c r="F58"/>
      <x:c r="G5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0" hidden="0" customWidth="1"/>
    <x:col min="3" max="26" width="9" hidden="0" customWidth="1"/>
  </x:cols>
  <x:sheetData>
    <x:row r="1" ht="17.350000381469727" hidden="0">
      <x:c r="A1" s="1" t="s">
        <x:v>41</x:v>
      </x:c>
    </x:row>
    <x:row r="2" ht="15" hidden="0">
      <x:c r="A2" s="2" t="s">
        <x:v>42</x:v>
      </x:c>
    </x:row>
    <x:row r="4" ht="15" hidden="0">
      <x:c r="A4" s="3" t="s">
        <x:v>43</x:v>
      </x:c>
      <x:c r="C4" s="8" t="s">
        <x:v>44</x:v>
      </x:c>
      <x:c r="D4" s="8" t="s">
        <x:v>45</x:v>
      </x:c>
      <x:c r="E4" s="8" t="s">
        <x:v>46</x:v>
      </x:c>
      <x:c r="F4" s="8" t="s">
        <x:v>47</x:v>
      </x:c>
      <x:c r="G4" s="8" t="s">
        <x:v>48</x:v>
      </x:c>
      <x:c r="H4" s="8" t="s">
        <x:v>49</x:v>
      </x:c>
      <x:c r="I4" s="8" t="s">
        <x:v>50</x:v>
      </x:c>
      <x:c r="J4" s="8" t="s">
        <x:v>51</x:v>
      </x:c>
      <x:c r="K4" s="8" t="s">
        <x:v>52</x:v>
      </x:c>
      <x:c r="L4" s="8" t="s">
        <x:v>53</x:v>
      </x:c>
      <x:c r="M4" s="8" t="s">
        <x:v>54</x:v>
      </x:c>
      <x:c r="N4" s="8" t="s">
        <x:v>55</x:v>
      </x:c>
      <x:c r="O4" s="8" t="s">
        <x:v>56</x:v>
      </x:c>
      <x:c r="P4" s="8" t="s">
        <x:v>57</x:v>
      </x:c>
      <x:c r="Q4" s="8" t="s">
        <x:v>58</x:v>
      </x:c>
      <x:c r="R4" s="8" t="s">
        <x:v>59</x:v>
      </x:c>
      <x:c r="S4" s="8" t="s">
        <x:v>60</x:v>
      </x:c>
      <x:c r="T4" s="8" t="s">
        <x:v>61</x:v>
      </x:c>
      <x:c r="U4" s="8" t="s">
        <x:v>62</x:v>
      </x:c>
      <x:c r="V4" s="8" t="s">
        <x:v>63</x:v>
      </x:c>
      <x:c r="W4" s="8" t="s">
        <x:v>64</x:v>
      </x:c>
      <x:c r="X4" s="8" t="s">
        <x:v>65</x:v>
      </x:c>
      <x:c r="Y4" s="8" t="s">
        <x:v>66</x:v>
      </x:c>
      <x:c r="Z4" s="8" t="s">
        <x:v>67</x:v>
      </x:c>
    </x:row>
    <x:row r="6" ht="15" hidden="0">
      <x:c r="A6" s="6" t="s">
        <x:v>68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</x:row>
    <x:row r="7" ht="15" hidden="0">
      <x:c r="A7" s="10" t="s">
        <x:v>69</x:v>
      </x:c>
      <x:c r="C7" s="19" t="n">
        <x:f aca="0">IF(1&gt;=Drivers!$G$9,Drivers!$G$10/12,0)</x:f>
        <x:v>0</x:v>
      </x:c>
      <x:c r="D7" s="19" t="n">
        <x:f aca="0">IF(2&gt;=Drivers!$G$9,Drivers!$G$10/12,0)</x:f>
        <x:v>0</x:v>
      </x:c>
      <x:c r="E7" s="19" t="n">
        <x:f aca="0">IF(3&gt;=Drivers!$G$9,Drivers!$G$10/12,0)</x:f>
        <x:v>0</x:v>
      </x:c>
      <x:c r="F7" s="19" t="n">
        <x:f aca="0">IF(4&gt;=Drivers!$G$9,Drivers!$G$10/12,0)</x:f>
        <x:v>0</x:v>
      </x:c>
      <x:c r="G7" s="19" t="n">
        <x:f aca="0">IF(5&gt;=Drivers!$G$9,Drivers!$G$10/12,0)</x:f>
        <x:v>0</x:v>
      </x:c>
      <x:c r="H7" s="19" t="n">
        <x:f aca="0">IF(6&gt;=Drivers!$G$9,Drivers!$G$10/12,0)</x:f>
        <x:v>0</x:v>
      </x:c>
      <x:c r="I7" s="19" t="n">
        <x:f aca="0">IF(7&gt;=Drivers!$G$9,Drivers!$G$10/12,0)</x:f>
        <x:v>0</x:v>
      </x:c>
      <x:c r="J7" s="19" t="n">
        <x:f aca="0">IF(8&gt;=Drivers!$G$9,Drivers!$G$10/12,0)</x:f>
        <x:v>0</x:v>
      </x:c>
      <x:c r="K7" s="19" t="n">
        <x:f aca="0">IF(9&gt;=Drivers!$G$9,Drivers!$G$10/12,0)</x:f>
        <x:v>0</x:v>
      </x:c>
      <x:c r="L7" s="19" t="n">
        <x:f aca="0">IF(10&gt;=Drivers!$G$9,Drivers!$G$10/12,0)</x:f>
        <x:v>0</x:v>
      </x:c>
      <x:c r="M7" s="19" t="n">
        <x:f aca="0">IF(11&gt;=Drivers!$G$9,Drivers!$G$10/12,0)</x:f>
        <x:v>0</x:v>
      </x:c>
      <x:c r="N7" s="19" t="n">
        <x:f aca="0">IF(12&gt;=Drivers!$G$9,Drivers!$G$10/12,0)</x:f>
        <x:v>15000</x:v>
      </x:c>
      <x:c r="O7" s="19" t="n">
        <x:f aca="0">IF(13&gt;=Drivers!$G$9,Drivers!$G$10/12,0)</x:f>
        <x:v>15000</x:v>
      </x:c>
      <x:c r="P7" s="19" t="n">
        <x:f aca="0">IF(14&gt;=Drivers!$G$9,Drivers!$G$10/12,0)</x:f>
        <x:v>15000</x:v>
      </x:c>
      <x:c r="Q7" s="19" t="n">
        <x:f aca="0">IF(15&gt;=Drivers!$G$9,Drivers!$G$10/12,0)</x:f>
        <x:v>15000</x:v>
      </x:c>
      <x:c r="R7" s="19" t="n">
        <x:f aca="0">IF(16&gt;=Drivers!$G$9,Drivers!$G$10/12,0)</x:f>
        <x:v>15000</x:v>
      </x:c>
      <x:c r="S7" s="19" t="n">
        <x:f aca="0">IF(17&gt;=Drivers!$G$9,Drivers!$G$10/12,0)</x:f>
        <x:v>15000</x:v>
      </x:c>
      <x:c r="T7" s="19" t="n">
        <x:f aca="0">IF(18&gt;=Drivers!$G$9,Drivers!$G$10/12,0)</x:f>
        <x:v>15000</x:v>
      </x:c>
      <x:c r="U7" s="19" t="n">
        <x:f aca="0">IF(19&gt;=Drivers!$G$9,Drivers!$G$10/12,0)</x:f>
        <x:v>15000</x:v>
      </x:c>
      <x:c r="V7" s="19" t="n">
        <x:f aca="0">IF(20&gt;=Drivers!$G$9,Drivers!$G$10/12,0)</x:f>
        <x:v>15000</x:v>
      </x:c>
      <x:c r="W7" s="19" t="n">
        <x:f aca="0">IF(21&gt;=Drivers!$G$9,Drivers!$G$10/12,0)</x:f>
        <x:v>15000</x:v>
      </x:c>
      <x:c r="X7" s="19" t="n">
        <x:f aca="0">IF(22&gt;=Drivers!$G$9,Drivers!$G$10/12,0)</x:f>
        <x:v>15000</x:v>
      </x:c>
      <x:c r="Y7" s="19" t="n">
        <x:f aca="0">IF(23&gt;=Drivers!$G$9,Drivers!$G$10/12,0)</x:f>
        <x:v>15000</x:v>
      </x:c>
      <x:c r="Z7" s="19" t="n">
        <x:f aca="0">IF(24&gt;=Drivers!$G$9,Drivers!$G$10/12,0)</x:f>
        <x:v>15000</x:v>
      </x:c>
    </x:row>
    <x:row r="8" ht="15" hidden="0">
      <x:c r="A8" s="10" t="s">
        <x:v>70</x:v>
      </x:c>
      <x:c r="C8" s="19" t="n">
        <x:f aca="0">IF(1&gt;=Drivers!$G$11,Drivers!$G$12/12,0)</x:f>
        <x:v>0</x:v>
      </x:c>
      <x:c r="D8" s="19" t="n">
        <x:f aca="0">IF(2&gt;=Drivers!$G$11,Drivers!$G$12/12,0)</x:f>
        <x:v>0</x:v>
      </x:c>
      <x:c r="E8" s="19" t="n">
        <x:f aca="0">IF(3&gt;=Drivers!$G$11,Drivers!$G$12/12,0)</x:f>
        <x:v>0</x:v>
      </x:c>
      <x:c r="F8" s="19" t="n">
        <x:f aca="0">IF(4&gt;=Drivers!$G$11,Drivers!$G$12/12,0)</x:f>
        <x:v>0</x:v>
      </x:c>
      <x:c r="G8" s="19" t="n">
        <x:f aca="0">IF(5&gt;=Drivers!$G$11,Drivers!$G$12/12,0)</x:f>
        <x:v>0</x:v>
      </x:c>
      <x:c r="H8" s="19" t="n">
        <x:f aca="0">IF(6&gt;=Drivers!$G$11,Drivers!$G$12/12,0)</x:f>
        <x:v>0</x:v>
      </x:c>
      <x:c r="I8" s="19" t="n">
        <x:f aca="0">IF(7&gt;=Drivers!$G$11,Drivers!$G$12/12,0)</x:f>
        <x:v>0</x:v>
      </x:c>
      <x:c r="J8" s="19" t="n">
        <x:f aca="0">IF(8&gt;=Drivers!$G$11,Drivers!$G$12/12,0)</x:f>
        <x:v>0</x:v>
      </x:c>
      <x:c r="K8" s="19" t="n">
        <x:f aca="0">IF(9&gt;=Drivers!$G$11,Drivers!$G$12/12,0)</x:f>
        <x:v>0</x:v>
      </x:c>
      <x:c r="L8" s="19" t="n">
        <x:f aca="0">IF(10&gt;=Drivers!$G$11,Drivers!$G$12/12,0)</x:f>
        <x:v>0</x:v>
      </x:c>
      <x:c r="M8" s="19" t="n">
        <x:f aca="0">IF(11&gt;=Drivers!$G$11,Drivers!$G$12/12,0)</x:f>
        <x:v>0</x:v>
      </x:c>
      <x:c r="N8" s="19" t="n">
        <x:f aca="0">IF(12&gt;=Drivers!$G$11,Drivers!$G$12/12,0)</x:f>
        <x:v>0</x:v>
      </x:c>
      <x:c r="O8" s="19" t="n">
        <x:f aca="0">IF(13&gt;=Drivers!$G$11,Drivers!$G$12/12,0)</x:f>
        <x:v>0</x:v>
      </x:c>
      <x:c r="P8" s="19" t="n">
        <x:f aca="0">IF(14&gt;=Drivers!$G$11,Drivers!$G$12/12,0)</x:f>
        <x:v>0</x:v>
      </x:c>
      <x:c r="Q8" s="19" t="n">
        <x:f aca="0">IF(15&gt;=Drivers!$G$11,Drivers!$G$12/12,0)</x:f>
        <x:v>0</x:v>
      </x:c>
      <x:c r="R8" s="19" t="n">
        <x:f aca="0">IF(16&gt;=Drivers!$G$11,Drivers!$G$12/12,0)</x:f>
        <x:v>0</x:v>
      </x:c>
      <x:c r="S8" s="19" t="n">
        <x:f aca="0">IF(17&gt;=Drivers!$G$11,Drivers!$G$12/12,0)</x:f>
        <x:v>0</x:v>
      </x:c>
      <x:c r="T8" s="19" t="n">
        <x:f aca="0">IF(18&gt;=Drivers!$G$11,Drivers!$G$12/12,0)</x:f>
        <x:v>0</x:v>
      </x:c>
      <x:c r="U8" s="19" t="n">
        <x:f aca="0">IF(19&gt;=Drivers!$G$11,Drivers!$G$12/12,0)</x:f>
        <x:v>0</x:v>
      </x:c>
      <x:c r="V8" s="19" t="n">
        <x:f aca="0">IF(20&gt;=Drivers!$G$11,Drivers!$G$12/12,0)</x:f>
        <x:v>12500</x:v>
      </x:c>
      <x:c r="W8" s="19" t="n">
        <x:f aca="0">IF(21&gt;=Drivers!$G$11,Drivers!$G$12/12,0)</x:f>
        <x:v>12500</x:v>
      </x:c>
      <x:c r="X8" s="19" t="n">
        <x:f aca="0">IF(22&gt;=Drivers!$G$11,Drivers!$G$12/12,0)</x:f>
        <x:v>12500</x:v>
      </x:c>
      <x:c r="Y8" s="19" t="n">
        <x:f aca="0">IF(23&gt;=Drivers!$G$11,Drivers!$G$12/12,0)</x:f>
        <x:v>12500</x:v>
      </x:c>
      <x:c r="Z8" s="19" t="n">
        <x:f aca="0">IF(24&gt;=Drivers!$G$11,Drivers!$G$12/12,0)</x:f>
        <x:v>12500</x:v>
      </x:c>
    </x:row>
    <x:row r="9" ht="15" hidden="0">
      <x:c r="A9" s="3" t="s">
        <x:v>71</x:v>
      </x:c>
      <x:c r="C9" s="20" t="n">
        <x:f aca="0">C7+C8</x:f>
        <x:v>0</x:v>
      </x:c>
      <x:c r="D9" s="20" t="n">
        <x:f aca="0">D7+D8</x:f>
        <x:v>0</x:v>
      </x:c>
      <x:c r="E9" s="20" t="n">
        <x:f aca="0">E7+E8</x:f>
        <x:v>0</x:v>
      </x:c>
      <x:c r="F9" s="20" t="n">
        <x:f aca="0">F7+F8</x:f>
        <x:v>0</x:v>
      </x:c>
      <x:c r="G9" s="20" t="n">
        <x:f aca="0">G7+G8</x:f>
        <x:v>0</x:v>
      </x:c>
      <x:c r="H9" s="20" t="n">
        <x:f aca="0">H7+H8</x:f>
        <x:v>0</x:v>
      </x:c>
      <x:c r="I9" s="20" t="n">
        <x:f aca="0">I7+I8</x:f>
        <x:v>0</x:v>
      </x:c>
      <x:c r="J9" s="20" t="n">
        <x:f aca="0">J7+J8</x:f>
        <x:v>0</x:v>
      </x:c>
      <x:c r="K9" s="20" t="n">
        <x:f aca="0">K7+K8</x:f>
        <x:v>0</x:v>
      </x:c>
      <x:c r="L9" s="20" t="n">
        <x:f aca="0">L7+L8</x:f>
        <x:v>0</x:v>
      </x:c>
      <x:c r="M9" s="20" t="n">
        <x:f aca="0">M7+M8</x:f>
        <x:v>0</x:v>
      </x:c>
      <x:c r="N9" s="20" t="n">
        <x:f aca="0">N7+N8</x:f>
        <x:v>15000</x:v>
      </x:c>
      <x:c r="O9" s="20" t="n">
        <x:f aca="0">O7+O8</x:f>
        <x:v>15000</x:v>
      </x:c>
      <x:c r="P9" s="20" t="n">
        <x:f aca="0">P7+P8</x:f>
        <x:v>15000</x:v>
      </x:c>
      <x:c r="Q9" s="20" t="n">
        <x:f aca="0">Q7+Q8</x:f>
        <x:v>15000</x:v>
      </x:c>
      <x:c r="R9" s="20" t="n">
        <x:f aca="0">R7+R8</x:f>
        <x:v>15000</x:v>
      </x:c>
      <x:c r="S9" s="20" t="n">
        <x:f aca="0">S7+S8</x:f>
        <x:v>15000</x:v>
      </x:c>
      <x:c r="T9" s="20" t="n">
        <x:f aca="0">T7+T8</x:f>
        <x:v>15000</x:v>
      </x:c>
      <x:c r="U9" s="20" t="n">
        <x:f aca="0">U7+U8</x:f>
        <x:v>15000</x:v>
      </x:c>
      <x:c r="V9" s="20" t="n">
        <x:f aca="0">V7+V8</x:f>
        <x:v>27500</x:v>
      </x:c>
      <x:c r="W9" s="20" t="n">
        <x:f aca="0">W7+W8</x:f>
        <x:v>27500</x:v>
      </x:c>
      <x:c r="X9" s="20" t="n">
        <x:f aca="0">X7+X8</x:f>
        <x:v>27500</x:v>
      </x:c>
      <x:c r="Y9" s="20" t="n">
        <x:f aca="0">Y7+Y8</x:f>
        <x:v>27500</x:v>
      </x:c>
      <x:c r="Z9" s="20" t="n">
        <x:f aca="0">Z7+Z8</x:f>
        <x:v>27500</x:v>
      </x:c>
    </x:row>
    <x:row r="10" ht="15" hidden="0">
      <x:c r="A10" s="10" t="str">
        <x:v>Pre-seed injection</x:v>
      </x:c>
      <x:c r="C10" s="19" t="n">
        <x:f aca="0">IF(1=1,Drivers!$G$13,0)</x:f>
        <x:v>300000</x:v>
      </x:c>
      <x:c r="D10" s="19" t="n">
        <x:f aca="0">IF(2=1,Drivers!$G$13,0)</x:f>
        <x:v>0</x:v>
      </x:c>
      <x:c r="E10" s="19" t="n">
        <x:f aca="0">IF(3=1,Drivers!$G$13,0)</x:f>
        <x:v>0</x:v>
      </x:c>
      <x:c r="F10" s="19" t="n">
        <x:f aca="0">IF(4=1,Drivers!$G$13,0)</x:f>
        <x:v>0</x:v>
      </x:c>
      <x:c r="G10" s="19" t="n">
        <x:f aca="0">IF(5=1,Drivers!$G$13,0)</x:f>
        <x:v>0</x:v>
      </x:c>
      <x:c r="H10" s="19" t="n">
        <x:f aca="0">IF(6=1,Drivers!$G$13,0)</x:f>
        <x:v>0</x:v>
      </x:c>
      <x:c r="I10" s="19" t="n">
        <x:f aca="0">IF(7=1,Drivers!$G$13,0)</x:f>
        <x:v>0</x:v>
      </x:c>
      <x:c r="J10" s="19" t="n">
        <x:f aca="0">IF(8=1,Drivers!$G$13,0)</x:f>
        <x:v>0</x:v>
      </x:c>
      <x:c r="K10" s="19" t="n">
        <x:f aca="0">IF(9=1,Drivers!$G$13,0)</x:f>
        <x:v>0</x:v>
      </x:c>
      <x:c r="L10" s="19" t="n">
        <x:f aca="0">IF(10=1,Drivers!$G$13,0)</x:f>
        <x:v>0</x:v>
      </x:c>
      <x:c r="M10" s="19" t="n">
        <x:f aca="0">IF(11=1,Drivers!$G$13,0)</x:f>
        <x:v>0</x:v>
      </x:c>
      <x:c r="N10" s="19" t="n">
        <x:f aca="0">IF(12=1,Drivers!$G$13,0)</x:f>
        <x:v>0</x:v>
      </x:c>
      <x:c r="O10" s="19" t="n">
        <x:f aca="0">IF(13=1,Drivers!$G$13,0)</x:f>
        <x:v>0</x:v>
      </x:c>
      <x:c r="P10" s="19" t="n">
        <x:f aca="0">IF(14=1,Drivers!$G$13,0)</x:f>
        <x:v>0</x:v>
      </x:c>
      <x:c r="Q10" s="19" t="n">
        <x:f aca="0">IF(15=1,Drivers!$G$13,0)</x:f>
        <x:v>0</x:v>
      </x:c>
      <x:c r="R10" s="19" t="n">
        <x:f aca="0">IF(16=1,Drivers!$G$13,0)</x:f>
        <x:v>0</x:v>
      </x:c>
      <x:c r="S10" s="19" t="n">
        <x:f aca="0">IF(17=1,Drivers!$G$13,0)</x:f>
        <x:v>0</x:v>
      </x:c>
      <x:c r="T10" s="19" t="n">
        <x:f aca="0">IF(18=1,Drivers!$G$13,0)</x:f>
        <x:v>0</x:v>
      </x:c>
      <x:c r="U10" s="19" t="n">
        <x:f aca="0">IF(19=1,Drivers!$G$13,0)</x:f>
        <x:v>0</x:v>
      </x:c>
      <x:c r="V10" s="19" t="n">
        <x:f aca="0">IF(20=1,Drivers!$G$13,0)</x:f>
        <x:v>0</x:v>
      </x:c>
      <x:c r="W10" s="19" t="n">
        <x:f aca="0">IF(21=1,Drivers!$G$13,0)</x:f>
        <x:v>0</x:v>
      </x:c>
      <x:c r="X10" s="19" t="n">
        <x:f aca="0">IF(22=1,Drivers!$G$13,0)</x:f>
        <x:v>0</x:v>
      </x:c>
      <x:c r="Y10" s="19" t="n">
        <x:f aca="0">IF(23=1,Drivers!$G$13,0)</x:f>
        <x:v>0</x:v>
      </x:c>
      <x:c r="Z10" s="19" t="n">
        <x:f aca="0">IF(24=1,Drivers!$G$13,0)</x:f>
        <x:v>0</x:v>
      </x:c>
    </x:row>
    <x:row r="11" ht="15" hidden="0">
      <x:c r="A11" s="10" t="str">
        <x:v>Eligible DIDG / capability grant (arrears)</x:v>
      </x:c>
      <x:c r="C11" s="19" t="n">
        <x:f aca="0">IF(Drivers!$G$14=1,IF(1=Drivers!$G$16,Drivers!$G$15*0.5,IF(1=Drivers!$G$16+6,Drivers!$G$15*0.5,0)),0)</x:f>
        <x:v>0</x:v>
      </x:c>
      <x:c r="D11" s="19" t="n">
        <x:f aca="0">IF(Drivers!$G$14=1,IF(2=Drivers!$G$16,Drivers!$G$15*0.5,IF(2=Drivers!$G$16+6,Drivers!$G$15*0.5,0)),0)</x:f>
        <x:v>0</x:v>
      </x:c>
      <x:c r="E11" s="19" t="n">
        <x:f aca="0">IF(Drivers!$G$14=1,IF(3=Drivers!$G$16,Drivers!$G$15*0.5,IF(3=Drivers!$G$16+6,Drivers!$G$15*0.5,0)),0)</x:f>
        <x:v>0</x:v>
      </x:c>
      <x:c r="F11" s="19" t="n">
        <x:f aca="0">IF(Drivers!$G$14=1,IF(4=Drivers!$G$16,Drivers!$G$15*0.5,IF(4=Drivers!$G$16+6,Drivers!$G$15*0.5,0)),0)</x:f>
        <x:v>0</x:v>
      </x:c>
      <x:c r="G11" s="19" t="n">
        <x:f aca="0">IF(Drivers!$G$14=1,IF(5=Drivers!$G$16,Drivers!$G$15*0.5,IF(5=Drivers!$G$16+6,Drivers!$G$15*0.5,0)),0)</x:f>
        <x:v>0</x:v>
      </x:c>
      <x:c r="H11" s="19" t="n">
        <x:f aca="0">IF(Drivers!$G$14=1,IF(6=Drivers!$G$16,Drivers!$G$15*0.5,IF(6=Drivers!$G$16+6,Drivers!$G$15*0.5,0)),0)</x:f>
        <x:v>0</x:v>
      </x:c>
      <x:c r="I11" s="19" t="n">
        <x:f aca="0">IF(Drivers!$G$14=1,IF(7=Drivers!$G$16,Drivers!$G$15*0.5,IF(7=Drivers!$G$16+6,Drivers!$G$15*0.5,0)),0)</x:f>
        <x:v>0</x:v>
      </x:c>
      <x:c r="J11" s="19" t="n">
        <x:f aca="0">IF(Drivers!$G$14=1,IF(8=Drivers!$G$16,Drivers!$G$15*0.5,IF(8=Drivers!$G$16+6,Drivers!$G$15*0.5,0)),0)</x:f>
        <x:v>0</x:v>
      </x:c>
      <x:c r="K11" s="19" t="n">
        <x:f aca="0">IF(Drivers!$G$14=1,IF(9=Drivers!$G$16,Drivers!$G$15*0.5,IF(9=Drivers!$G$16+6,Drivers!$G$15*0.5,0)),0)</x:f>
        <x:v>0</x:v>
      </x:c>
      <x:c r="L11" s="19" t="n">
        <x:f aca="0">IF(Drivers!$G$14=1,IF(10=Drivers!$G$16,Drivers!$G$15*0.5,IF(10=Drivers!$G$16+6,Drivers!$G$15*0.5,0)),0)</x:f>
        <x:v>0</x:v>
      </x:c>
      <x:c r="M11" s="19" t="n">
        <x:f aca="0">IF(Drivers!$G$14=1,IF(11=Drivers!$G$16,Drivers!$G$15*0.5,IF(11=Drivers!$G$16+6,Drivers!$G$15*0.5,0)),0)</x:f>
        <x:v>0</x:v>
      </x:c>
      <x:c r="N11" s="19" t="n">
        <x:f aca="0">IF(Drivers!$G$14=1,IF(12=Drivers!$G$16,Drivers!$G$15*0.5,IF(12=Drivers!$G$16+6,Drivers!$G$15*0.5,0)),0)</x:f>
        <x:v>0</x:v>
      </x:c>
      <x:c r="O11" s="19" t="n">
        <x:f aca="0">IF(Drivers!$G$14=1,IF(13=Drivers!$G$16,Drivers!$G$15*0.5,IF(13=Drivers!$G$16+6,Drivers!$G$15*0.5,0)),0)</x:f>
        <x:v>0</x:v>
      </x:c>
      <x:c r="P11" s="19" t="n">
        <x:f aca="0">IF(Drivers!$G$14=1,IF(14=Drivers!$G$16,Drivers!$G$15*0.5,IF(14=Drivers!$G$16+6,Drivers!$G$15*0.5,0)),0)</x:f>
        <x:v>0</x:v>
      </x:c>
      <x:c r="Q11" s="19" t="n">
        <x:f aca="0">IF(Drivers!$G$14=1,IF(15=Drivers!$G$16,Drivers!$G$15*0.5,IF(15=Drivers!$G$16+6,Drivers!$G$15*0.5,0)),0)</x:f>
        <x:v>0</x:v>
      </x:c>
      <x:c r="R11" s="19" t="n">
        <x:f aca="0">IF(Drivers!$G$14=1,IF(16=Drivers!$G$16,Drivers!$G$15*0.5,IF(16=Drivers!$G$16+6,Drivers!$G$15*0.5,0)),0)</x:f>
        <x:v>0</x:v>
      </x:c>
      <x:c r="S11" s="19" t="n">
        <x:f aca="0">IF(Drivers!$G$14=1,IF(17=Drivers!$G$16,Drivers!$G$15*0.5,IF(17=Drivers!$G$16+6,Drivers!$G$15*0.5,0)),0)</x:f>
        <x:v>0</x:v>
      </x:c>
      <x:c r="T11" s="19" t="n">
        <x:f aca="0">IF(Drivers!$G$14=1,IF(18=Drivers!$G$16,Drivers!$G$15*0.5,IF(18=Drivers!$G$16+6,Drivers!$G$15*0.5,0)),0)</x:f>
        <x:v>0</x:v>
      </x:c>
      <x:c r="U11" s="19" t="n">
        <x:f aca="0">IF(Drivers!$G$14=1,IF(19=Drivers!$G$16,Drivers!$G$15*0.5,IF(19=Drivers!$G$16+6,Drivers!$G$15*0.5,0)),0)</x:f>
        <x:v>0</x:v>
      </x:c>
      <x:c r="V11" s="19" t="n">
        <x:f aca="0">IF(Drivers!$G$14=1,IF(20=Drivers!$G$16,Drivers!$G$15*0.5,IF(20=Drivers!$G$16+6,Drivers!$G$15*0.5,0)),0)</x:f>
        <x:v>0</x:v>
      </x:c>
      <x:c r="W11" s="19" t="n">
        <x:f aca="0">IF(Drivers!$G$14=1,IF(21=Drivers!$G$16,Drivers!$G$15*0.5,IF(21=Drivers!$G$16+6,Drivers!$G$15*0.5,0)),0)</x:f>
        <x:v>0</x:v>
      </x:c>
      <x:c r="X11" s="19" t="n">
        <x:f aca="0">IF(Drivers!$G$14=1,IF(22=Drivers!$G$16,Drivers!$G$15*0.5,IF(22=Drivers!$G$16+6,Drivers!$G$15*0.5,0)),0)</x:f>
        <x:v>0</x:v>
      </x:c>
      <x:c r="Y11" s="19" t="n">
        <x:f aca="0">IF(Drivers!$G$14=1,IF(23=Drivers!$G$16,Drivers!$G$15*0.5,IF(23=Drivers!$G$16+6,Drivers!$G$15*0.5,0)),0)</x:f>
        <x:v>0</x:v>
      </x:c>
      <x:c r="Z11" s="19" t="n">
        <x:f aca="0">IF(Drivers!$G$14=1,IF(24=Drivers!$G$16,Drivers!$G$15*0.5,IF(24=Drivers!$G$16+6,Drivers!$G$15*0.5,0)),0)</x:f>
        <x:v>0</x:v>
      </x:c>
    </x:row>
    <x:row r="12" ht="15" hidden="0">
      <x:c r="A12" s="10" t="str">
        <x:v>R&amp;D Tax Incentive (arrears, if eligible)</x:v>
      </x:c>
      <x:c r="C12" s="14" t="n">
        <x:f aca="0">IF(1=Drivers!$D$33,SUM($C$15:$N$18)*Drivers!$D$34*Drivers!$D$32,0)</x:f>
        <x:v>0</x:v>
      </x:c>
      <x:c r="D12" s="14" t="n">
        <x:f aca="0">IF(2=Drivers!$D$33,SUM($C$15:$N$18)*Drivers!$D$34*Drivers!$D$32,0)</x:f>
        <x:v>0</x:v>
      </x:c>
      <x:c r="E12" s="14" t="n">
        <x:f aca="0">IF(3=Drivers!$D$33,SUM($C$15:$N$18)*Drivers!$D$34*Drivers!$D$32,0)</x:f>
        <x:v>0</x:v>
      </x:c>
      <x:c r="F12" s="14" t="n">
        <x:f aca="0">IF(4=Drivers!$D$33,SUM($C$15:$N$18)*Drivers!$D$34*Drivers!$D$32,0)</x:f>
        <x:v>0</x:v>
      </x:c>
      <x:c r="G12" s="14" t="n">
        <x:f aca="0">IF(5=Drivers!$D$33,SUM($C$15:$N$18)*Drivers!$D$34*Drivers!$D$32,0)</x:f>
        <x:v>0</x:v>
      </x:c>
      <x:c r="H12" s="14" t="n">
        <x:f aca="0">IF(6=Drivers!$D$33,SUM($C$15:$N$18)*Drivers!$D$34*Drivers!$D$32,0)</x:f>
        <x:v>0</x:v>
      </x:c>
      <x:c r="I12" s="14" t="n">
        <x:f aca="0">IF(7=Drivers!$D$33,SUM($C$15:$N$18)*Drivers!$D$34*Drivers!$D$32,0)</x:f>
        <x:v>0</x:v>
      </x:c>
      <x:c r="J12" s="14" t="n">
        <x:f aca="0">IF(8=Drivers!$D$33,SUM($C$15:$N$18)*Drivers!$D$34*Drivers!$D$32,0)</x:f>
        <x:v>0</x:v>
      </x:c>
      <x:c r="K12" s="14" t="n">
        <x:f aca="0">IF(9=Drivers!$D$33,SUM($C$15:$N$18)*Drivers!$D$34*Drivers!$D$32,0)</x:f>
        <x:v>0</x:v>
      </x:c>
      <x:c r="L12" s="14" t="n">
        <x:f aca="0">IF(10=Drivers!$D$33,SUM($C$15:$N$18)*Drivers!$D$34*Drivers!$D$32,0)</x:f>
        <x:v>0</x:v>
      </x:c>
      <x:c r="M12" s="14" t="n">
        <x:f aca="0">IF(11=Drivers!$D$33,SUM($C$15:$N$18)*Drivers!$D$34*Drivers!$D$32,0)</x:f>
        <x:v>0</x:v>
      </x:c>
      <x:c r="N12" s="14" t="n">
        <x:f aca="0">IF(12=Drivers!$D$33,SUM($C$15:$N$18)*Drivers!$D$34*Drivers!$D$32,0)</x:f>
        <x:v>0</x:v>
      </x:c>
      <x:c r="O12" s="14" t="n">
        <x:f aca="0">IF(13=Drivers!$D$33,SUM($C$15:$N$18)*Drivers!$D$34*Drivers!$D$32,0)</x:f>
        <x:v>0</x:v>
      </x:c>
      <x:c r="P12" s="14" t="n">
        <x:f aca="0">IF(14=Drivers!$D$33,SUM($C$15:$N$18)*Drivers!$D$34*Drivers!$D$32,0)</x:f>
        <x:v>0</x:v>
      </x:c>
      <x:c r="Q12" s="14" t="n">
        <x:f aca="0">IF(15=Drivers!$D$33,SUM($C$15:$N$18)*Drivers!$D$34*Drivers!$D$32,0)</x:f>
        <x:v>0</x:v>
      </x:c>
      <x:c r="R12" s="14" t="n">
        <x:f aca="0">IF(16=Drivers!$D$33,SUM($C$15:$N$18)*Drivers!$D$34*Drivers!$D$32,0)</x:f>
        <x:v>0</x:v>
      </x:c>
      <x:c r="S12" s="14" t="n">
        <x:f aca="0">IF(17=Drivers!$D$33,SUM($C$15:$N$18)*Drivers!$D$34*Drivers!$D$32,0)</x:f>
        <x:v>0</x:v>
      </x:c>
      <x:c r="T12" s="14" t="n">
        <x:f aca="0">IF(18=Drivers!$D$33,SUM($C$15:$N$18)*Drivers!$D$34*Drivers!$D$32,0)</x:f>
        <x:v>0</x:v>
      </x:c>
      <x:c r="U12" s="14" t="n">
        <x:f aca="0">IF(19=Drivers!$D$33,SUM($C$15:$N$18)*Drivers!$D$34*Drivers!$D$32,0)</x:f>
        <x:v>0</x:v>
      </x:c>
      <x:c r="V12" s="14" t="n">
        <x:f aca="0">IF(20=Drivers!$D$33,SUM($C$15:$N$18)*Drivers!$D$34*Drivers!$D$32,0)</x:f>
        <x:v>0</x:v>
      </x:c>
      <x:c r="W12" s="14" t="n">
        <x:f aca="0">IF(21=Drivers!$D$33,SUM($C$15:$N$18)*Drivers!$D$34*Drivers!$D$32,0)</x:f>
        <x:v>0</x:v>
      </x:c>
      <x:c r="X12" s="14" t="n">
        <x:f aca="0">IF(22=Drivers!$D$33,SUM($C$15:$N$18)*Drivers!$D$34*Drivers!$D$32,0)</x:f>
        <x:v>20671.200000000004</x:v>
      </x:c>
      <x:c r="Y12" s="14" t="n">
        <x:f aca="0">IF(23=Drivers!$D$33,SUM($C$15:$N$18)*Drivers!$D$34*Drivers!$D$32,0)</x:f>
        <x:v>0</x:v>
      </x:c>
      <x:c r="Z12" s="14" t="n">
        <x:f aca="0">IF(24=Drivers!$D$33,SUM($C$15:$N$18)*Drivers!$D$34*Drivers!$D$32,0)</x:f>
        <x:v>0</x:v>
      </x:c>
    </x:row>
    <x:row r="14" ht="15" hidden="0">
      <x:c r="A14" s="6" t="s">
        <x:v>72</x:v>
      </x:c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</x:row>
    <x:row r="15" ht="15" hidden="0">
      <x:c r="A15" s="10" t="s">
        <x:v>73</x:v>
      </x:c>
      <x:c r="C15" s="19" t="n">
        <x:f aca="0">IF(1&lt;=12,Drivers!$D$23,Drivers!$D$24)</x:f>
        <x:v>3500</x:v>
      </x:c>
      <x:c r="D15" s="19" t="n">
        <x:f aca="0">IF(2&lt;=12,Drivers!$D$23,Drivers!$D$24)</x:f>
        <x:v>3500</x:v>
      </x:c>
      <x:c r="E15" s="19" t="n">
        <x:f aca="0">IF(3&lt;=12,Drivers!$D$23,Drivers!$D$24)</x:f>
        <x:v>3500</x:v>
      </x:c>
      <x:c r="F15" s="19" t="n">
        <x:f aca="0">IF(4&lt;=12,Drivers!$D$23,Drivers!$D$24)</x:f>
        <x:v>3500</x:v>
      </x:c>
      <x:c r="G15" s="19" t="n">
        <x:f aca="0">IF(5&lt;=12,Drivers!$D$23,Drivers!$D$24)</x:f>
        <x:v>3500</x:v>
      </x:c>
      <x:c r="H15" s="19" t="n">
        <x:f aca="0">IF(6&lt;=12,Drivers!$D$23,Drivers!$D$24)</x:f>
        <x:v>3500</x:v>
      </x:c>
      <x:c r="I15" s="19" t="n">
        <x:f aca="0">IF(7&lt;=12,Drivers!$D$23,Drivers!$D$24)</x:f>
        <x:v>3500</x:v>
      </x:c>
      <x:c r="J15" s="19" t="n">
        <x:f aca="0">IF(8&lt;=12,Drivers!$D$23,Drivers!$D$24)</x:f>
        <x:v>3500</x:v>
      </x:c>
      <x:c r="K15" s="19" t="n">
        <x:f aca="0">IF(9&lt;=12,Drivers!$D$23,Drivers!$D$24)</x:f>
        <x:v>3500</x:v>
      </x:c>
      <x:c r="L15" s="19" t="n">
        <x:f aca="0">IF(10&lt;=12,Drivers!$D$23,Drivers!$D$24)</x:f>
        <x:v>3500</x:v>
      </x:c>
      <x:c r="M15" s="19" t="n">
        <x:f aca="0">IF(11&lt;=12,Drivers!$D$23,Drivers!$D$24)</x:f>
        <x:v>3500</x:v>
      </x:c>
      <x:c r="N15" s="19" t="n">
        <x:f aca="0">IF(12&lt;=12,Drivers!$D$23,Drivers!$D$24)</x:f>
        <x:v>3500</x:v>
      </x:c>
      <x:c r="O15" s="19" t="n">
        <x:f aca="0">IF(13&lt;=12,Drivers!$D$23,Drivers!$D$24)</x:f>
        <x:v>5500</x:v>
      </x:c>
      <x:c r="P15" s="19" t="n">
        <x:f aca="0">IF(14&lt;=12,Drivers!$D$23,Drivers!$D$24)</x:f>
        <x:v>5500</x:v>
      </x:c>
      <x:c r="Q15" s="19" t="n">
        <x:f aca="0">IF(15&lt;=12,Drivers!$D$23,Drivers!$D$24)</x:f>
        <x:v>5500</x:v>
      </x:c>
      <x:c r="R15" s="19" t="n">
        <x:f aca="0">IF(16&lt;=12,Drivers!$D$23,Drivers!$D$24)</x:f>
        <x:v>5500</x:v>
      </x:c>
      <x:c r="S15" s="19" t="n">
        <x:f aca="0">IF(17&lt;=12,Drivers!$D$23,Drivers!$D$24)</x:f>
        <x:v>5500</x:v>
      </x:c>
      <x:c r="T15" s="19" t="n">
        <x:f aca="0">IF(18&lt;=12,Drivers!$D$23,Drivers!$D$24)</x:f>
        <x:v>5500</x:v>
      </x:c>
      <x:c r="U15" s="19" t="n">
        <x:f aca="0">IF(19&lt;=12,Drivers!$D$23,Drivers!$D$24)</x:f>
        <x:v>5500</x:v>
      </x:c>
      <x:c r="V15" s="19" t="n">
        <x:f aca="0">IF(20&lt;=12,Drivers!$D$23,Drivers!$D$24)</x:f>
        <x:v>5500</x:v>
      </x:c>
      <x:c r="W15" s="19" t="n">
        <x:f aca="0">IF(21&lt;=12,Drivers!$D$23,Drivers!$D$24)</x:f>
        <x:v>5500</x:v>
      </x:c>
      <x:c r="X15" s="19" t="n">
        <x:f aca="0">IF(22&lt;=12,Drivers!$D$23,Drivers!$D$24)</x:f>
        <x:v>5500</x:v>
      </x:c>
      <x:c r="Y15" s="19" t="n">
        <x:f aca="0">IF(23&lt;=12,Drivers!$D$23,Drivers!$D$24)</x:f>
        <x:v>5500</x:v>
      </x:c>
      <x:c r="Z15" s="19" t="n">
        <x:f aca="0">IF(24&lt;=12,Drivers!$D$23,Drivers!$D$24)</x:f>
        <x:v>5500</x:v>
      </x:c>
    </x:row>
    <x:row r="16" ht="15" hidden="0">
      <x:c r="A16" s="10" t="s">
        <x:v>74</x:v>
      </x:c>
      <x:c r="C16" s="19" t="n">
        <x:f aca="0">(Drivers!$D$26)*((IF(1&gt;=Drivers!$D$25,1,0))+(IF(1&gt;=Drivers!$D$27,1,0)))</x:f>
        <x:v>0</x:v>
      </x:c>
      <x:c r="D16" s="19" t="n">
        <x:f aca="0">(Drivers!$D$26)*((IF(2&gt;=Drivers!$D$25,1,0))+(IF(2&gt;=Drivers!$D$27,1,0)))</x:f>
        <x:v>0</x:v>
      </x:c>
      <x:c r="E16" s="19" t="n">
        <x:f aca="0">(Drivers!$D$26)*((IF(3&gt;=Drivers!$D$25,1,0))+(IF(3&gt;=Drivers!$D$27,1,0)))</x:f>
        <x:v>0</x:v>
      </x:c>
      <x:c r="F16" s="19" t="n">
        <x:f aca="0">(Drivers!$D$26)*((IF(4&gt;=Drivers!$D$25,1,0))+(IF(4&gt;=Drivers!$D$27,1,0)))</x:f>
        <x:v>0</x:v>
      </x:c>
      <x:c r="G16" s="19" t="n">
        <x:f aca="0">(Drivers!$D$26)*((IF(5&gt;=Drivers!$D$25,1,0))+(IF(5&gt;=Drivers!$D$27,1,0)))</x:f>
        <x:v>0</x:v>
      </x:c>
      <x:c r="H16" s="19" t="n">
        <x:f aca="0">(Drivers!$D$26)*((IF(6&gt;=Drivers!$D$25,1,0))+(IF(6&gt;=Drivers!$D$27,1,0)))</x:f>
        <x:v>0</x:v>
      </x:c>
      <x:c r="I16" s="19" t="n">
        <x:f aca="0">(Drivers!$D$26)*((IF(7&gt;=Drivers!$D$25,1,0))+(IF(7&gt;=Drivers!$D$27,1,0)))</x:f>
        <x:v>0</x:v>
      </x:c>
      <x:c r="J16" s="19" t="n">
        <x:f aca="0">(Drivers!$D$26)*((IF(8&gt;=Drivers!$D$25,1,0))+(IF(8&gt;=Drivers!$D$27,1,0)))</x:f>
        <x:v>0</x:v>
      </x:c>
      <x:c r="K16" s="19" t="n">
        <x:f aca="0">(Drivers!$D$26)*((IF(9&gt;=Drivers!$D$25,1,0))+(IF(9&gt;=Drivers!$D$27,1,0)))</x:f>
        <x:v>0</x:v>
      </x:c>
      <x:c r="L16" s="19" t="n">
        <x:f aca="0">(Drivers!$D$26)*((IF(10&gt;=Drivers!$D$25,1,0))+(IF(10&gt;=Drivers!$D$27,1,0)))</x:f>
        <x:v>0</x:v>
      </x:c>
      <x:c r="M16" s="19" t="n">
        <x:f aca="0">(Drivers!$D$26)*((IF(11&gt;=Drivers!$D$25,1,0))+(IF(11&gt;=Drivers!$D$27,1,0)))</x:f>
        <x:v>0</x:v>
      </x:c>
      <x:c r="N16" s="19" t="n">
        <x:f aca="0">(Drivers!$D$26)*((IF(12&gt;=Drivers!$D$25,1,0))+(IF(12&gt;=Drivers!$D$27,1,0)))</x:f>
        <x:v>0</x:v>
      </x:c>
      <x:c r="O16" s="19" t="n">
        <x:f aca="0">(Drivers!$D$26)*((IF(13&gt;=Drivers!$D$25,1,0))+(IF(13&gt;=Drivers!$D$27,1,0)))</x:f>
        <x:v>9500</x:v>
      </x:c>
      <x:c r="P16" s="19" t="n">
        <x:f aca="0">(Drivers!$D$26)*((IF(14&gt;=Drivers!$D$25,1,0))+(IF(14&gt;=Drivers!$D$27,1,0)))</x:f>
        <x:v>9500</x:v>
      </x:c>
      <x:c r="Q16" s="19" t="n">
        <x:f aca="0">(Drivers!$D$26)*((IF(15&gt;=Drivers!$D$25,1,0))+(IF(15&gt;=Drivers!$D$27,1,0)))</x:f>
        <x:v>9500</x:v>
      </x:c>
      <x:c r="R16" s="19" t="n">
        <x:f aca="0">(Drivers!$D$26)*((IF(16&gt;=Drivers!$D$25,1,0))+(IF(16&gt;=Drivers!$D$27,1,0)))</x:f>
        <x:v>9500</x:v>
      </x:c>
      <x:c r="S16" s="19" t="n">
        <x:f aca="0">(Drivers!$D$26)*((IF(17&gt;=Drivers!$D$25,1,0))+(IF(17&gt;=Drivers!$D$27,1,0)))</x:f>
        <x:v>9500</x:v>
      </x:c>
      <x:c r="T16" s="19" t="n">
        <x:f aca="0">(Drivers!$D$26)*((IF(18&gt;=Drivers!$D$25,1,0))+(IF(18&gt;=Drivers!$D$27,1,0)))</x:f>
        <x:v>9500</x:v>
      </x:c>
      <x:c r="U16" s="19" t="n">
        <x:f aca="0">(Drivers!$D$26)*((IF(19&gt;=Drivers!$D$25,1,0))+(IF(19&gt;=Drivers!$D$27,1,0)))</x:f>
        <x:v>19000</x:v>
      </x:c>
      <x:c r="V16" s="19" t="n">
        <x:f aca="0">(Drivers!$D$26)*((IF(20&gt;=Drivers!$D$25,1,0))+(IF(20&gt;=Drivers!$D$27,1,0)))</x:f>
        <x:v>19000</x:v>
      </x:c>
      <x:c r="W16" s="19" t="n">
        <x:f aca="0">(Drivers!$D$26)*((IF(21&gt;=Drivers!$D$25,1,0))+(IF(21&gt;=Drivers!$D$27,1,0)))</x:f>
        <x:v>19000</x:v>
      </x:c>
      <x:c r="X16" s="19" t="n">
        <x:f aca="0">(Drivers!$D$26)*((IF(22&gt;=Drivers!$D$25,1,0))+(IF(22&gt;=Drivers!$D$27,1,0)))</x:f>
        <x:v>19000</x:v>
      </x:c>
      <x:c r="Y16" s="19" t="n">
        <x:f aca="0">(Drivers!$D$26)*((IF(23&gt;=Drivers!$D$25,1,0))+(IF(23&gt;=Drivers!$D$27,1,0)))</x:f>
        <x:v>19000</x:v>
      </x:c>
      <x:c r="Z16" s="19" t="n">
        <x:f aca="0">(Drivers!$D$26)*((IF(24&gt;=Drivers!$D$25,1,0))+(IF(24&gt;=Drivers!$D$27,1,0)))</x:f>
        <x:v>19000</x:v>
      </x:c>
    </x:row>
    <x:row r="17" ht="15" hidden="0">
      <x:c r="A17" s="10" t="s">
        <x:v>75</x:v>
      </x:c>
      <x:c r="C17" s="19" t="n">
        <x:f aca="0">Drivers!$D$28</x:f>
        <x:v>1200</x:v>
      </x:c>
      <x:c r="D17" s="19" t="n">
        <x:f aca="0">Drivers!$D$28</x:f>
        <x:v>1200</x:v>
      </x:c>
      <x:c r="E17" s="19" t="n">
        <x:f aca="0">Drivers!$D$28</x:f>
        <x:v>1200</x:v>
      </x:c>
      <x:c r="F17" s="19" t="n">
        <x:f aca="0">Drivers!$D$28</x:f>
        <x:v>1200</x:v>
      </x:c>
      <x:c r="G17" s="19" t="n">
        <x:f aca="0">Drivers!$D$28</x:f>
        <x:v>1200</x:v>
      </x:c>
      <x:c r="H17" s="19" t="n">
        <x:f aca="0">Drivers!$D$28</x:f>
        <x:v>1200</x:v>
      </x:c>
      <x:c r="I17" s="19" t="n">
        <x:f aca="0">Drivers!$D$28</x:f>
        <x:v>1200</x:v>
      </x:c>
      <x:c r="J17" s="19" t="n">
        <x:f aca="0">Drivers!$D$28</x:f>
        <x:v>1200</x:v>
      </x:c>
      <x:c r="K17" s="19" t="n">
        <x:f aca="0">Drivers!$D$28</x:f>
        <x:v>1200</x:v>
      </x:c>
      <x:c r="L17" s="19" t="n">
        <x:f aca="0">Drivers!$D$28</x:f>
        <x:v>1200</x:v>
      </x:c>
      <x:c r="M17" s="19" t="n">
        <x:f aca="0">Drivers!$D$28</x:f>
        <x:v>1200</x:v>
      </x:c>
      <x:c r="N17" s="19" t="n">
        <x:f aca="0">Drivers!$D$28</x:f>
        <x:v>1200</x:v>
      </x:c>
      <x:c r="O17" s="19" t="n">
        <x:f aca="0">Drivers!$D$28</x:f>
        <x:v>1200</x:v>
      </x:c>
      <x:c r="P17" s="19" t="n">
        <x:f aca="0">Drivers!$D$28</x:f>
        <x:v>1200</x:v>
      </x:c>
      <x:c r="Q17" s="19" t="n">
        <x:f aca="0">Drivers!$D$28</x:f>
        <x:v>1200</x:v>
      </x:c>
      <x:c r="R17" s="19" t="n">
        <x:f aca="0">Drivers!$D$28</x:f>
        <x:v>1200</x:v>
      </x:c>
      <x:c r="S17" s="19" t="n">
        <x:f aca="0">Drivers!$D$28</x:f>
        <x:v>1200</x:v>
      </x:c>
      <x:c r="T17" s="19" t="n">
        <x:f aca="0">Drivers!$D$28</x:f>
        <x:v>1200</x:v>
      </x:c>
      <x:c r="U17" s="19" t="n">
        <x:f aca="0">Drivers!$D$28</x:f>
        <x:v>1200</x:v>
      </x:c>
      <x:c r="V17" s="19" t="n">
        <x:f aca="0">Drivers!$D$28</x:f>
        <x:v>1200</x:v>
      </x:c>
      <x:c r="W17" s="19" t="n">
        <x:f aca="0">Drivers!$D$28</x:f>
        <x:v>1200</x:v>
      </x:c>
      <x:c r="X17" s="19" t="n">
        <x:f aca="0">Drivers!$D$28</x:f>
        <x:v>1200</x:v>
      </x:c>
      <x:c r="Y17" s="19" t="n">
        <x:f aca="0">Drivers!$D$28</x:f>
        <x:v>1200</x:v>
      </x:c>
      <x:c r="Z17" s="19" t="n">
        <x:f aca="0">Drivers!$D$28</x:f>
        <x:v>1200</x:v>
      </x:c>
    </x:row>
    <x:row r="18" ht="15" hidden="0">
      <x:c r="A18" s="10" t="s">
        <x:v>76</x:v>
      </x:c>
      <x:c r="C18" s="19" t="n">
        <x:f aca="0">Drivers!$D$29</x:f>
        <x:v>2500</x:v>
      </x:c>
      <x:c r="D18" s="19" t="n">
        <x:f aca="0">Drivers!$D$29</x:f>
        <x:v>2500</x:v>
      </x:c>
      <x:c r="E18" s="19" t="n">
        <x:f aca="0">Drivers!$D$29</x:f>
        <x:v>2500</x:v>
      </x:c>
      <x:c r="F18" s="19" t="n">
        <x:f aca="0">Drivers!$D$29</x:f>
        <x:v>2500</x:v>
      </x:c>
      <x:c r="G18" s="19" t="n">
        <x:f aca="0">Drivers!$D$29</x:f>
        <x:v>2500</x:v>
      </x:c>
      <x:c r="H18" s="19" t="n">
        <x:f aca="0">Drivers!$D$29</x:f>
        <x:v>2500</x:v>
      </x:c>
      <x:c r="I18" s="19" t="n">
        <x:f aca="0">Drivers!$D$29</x:f>
        <x:v>2500</x:v>
      </x:c>
      <x:c r="J18" s="19" t="n">
        <x:f aca="0">Drivers!$D$29</x:f>
        <x:v>2500</x:v>
      </x:c>
      <x:c r="K18" s="19" t="n">
        <x:f aca="0">Drivers!$D$29</x:f>
        <x:v>2500</x:v>
      </x:c>
      <x:c r="L18" s="19" t="n">
        <x:f aca="0">Drivers!$D$29</x:f>
        <x:v>2500</x:v>
      </x:c>
      <x:c r="M18" s="19" t="n">
        <x:f aca="0">Drivers!$D$29</x:f>
        <x:v>2500</x:v>
      </x:c>
      <x:c r="N18" s="19" t="n">
        <x:f aca="0">Drivers!$D$29</x:f>
        <x:v>2500</x:v>
      </x:c>
      <x:c r="O18" s="19" t="n">
        <x:f aca="0">Drivers!$D$29</x:f>
        <x:v>2500</x:v>
      </x:c>
      <x:c r="P18" s="19" t="n">
        <x:f aca="0">Drivers!$D$29</x:f>
        <x:v>2500</x:v>
      </x:c>
      <x:c r="Q18" s="19" t="n">
        <x:f aca="0">Drivers!$D$29</x:f>
        <x:v>2500</x:v>
      </x:c>
      <x:c r="R18" s="19" t="n">
        <x:f aca="0">Drivers!$D$29</x:f>
        <x:v>2500</x:v>
      </x:c>
      <x:c r="S18" s="19" t="n">
        <x:f aca="0">Drivers!$D$29</x:f>
        <x:v>2500</x:v>
      </x:c>
      <x:c r="T18" s="19" t="n">
        <x:f aca="0">Drivers!$D$29</x:f>
        <x:v>2500</x:v>
      </x:c>
      <x:c r="U18" s="19" t="n">
        <x:f aca="0">Drivers!$D$29</x:f>
        <x:v>2500</x:v>
      </x:c>
      <x:c r="V18" s="19" t="n">
        <x:f aca="0">Drivers!$D$29</x:f>
        <x:v>2500</x:v>
      </x:c>
      <x:c r="W18" s="19" t="n">
        <x:f aca="0">Drivers!$D$29</x:f>
        <x:v>2500</x:v>
      </x:c>
      <x:c r="X18" s="19" t="n">
        <x:f aca="0">Drivers!$D$29</x:f>
        <x:v>2500</x:v>
      </x:c>
      <x:c r="Y18" s="19" t="n">
        <x:f aca="0">Drivers!$D$29</x:f>
        <x:v>2500</x:v>
      </x:c>
      <x:c r="Z18" s="19" t="n">
        <x:f aca="0">Drivers!$D$29</x:f>
        <x:v>2500</x:v>
      </x:c>
    </x:row>
    <x:row r="19" ht="15" hidden="0">
      <x:c r="A19" s="10" t="s">
        <x:v>77</x:v>
      </x:c>
      <x:c r="C19" s="19" t="n">
        <x:f aca="0">ROUND((Drivers!$G$17*MIN(1/12,1)+Drivers!$G$18*MAX(0,(1-6)/18)),1)*Drivers!$D$30</x:f>
        <x:v>135</x:v>
      </x:c>
      <x:c r="D19" s="19" t="n">
        <x:f aca="0">ROUND((Drivers!$G$17*MIN(2/12,1)+Drivers!$G$18*MAX(0,(2-6)/18)),1)*Drivers!$D$30</x:f>
        <x:v>225</x:v>
      </x:c>
      <x:c r="E19" s="19" t="n">
        <x:f aca="0">ROUND((Drivers!$G$17*MIN(3/12,1)+Drivers!$G$18*MAX(0,(3-6)/18)),1)*Drivers!$D$30</x:f>
        <x:v>360</x:v>
      </x:c>
      <x:c r="F19" s="19" t="n">
        <x:f aca="0">ROUND((Drivers!$G$17*MIN(4/12,1)+Drivers!$G$18*MAX(0,(4-6)/18)),1)*Drivers!$D$30</x:f>
        <x:v>450</x:v>
      </x:c>
      <x:c r="G19" s="19" t="n">
        <x:f aca="0">ROUND((Drivers!$G$17*MIN(5/12,1)+Drivers!$G$18*MAX(0,(5-6)/18)),1)*Drivers!$D$30</x:f>
        <x:v>585</x:v>
      </x:c>
      <x:c r="H19" s="19" t="n">
        <x:f aca="0">ROUND((Drivers!$G$17*MIN(6/12,1)+Drivers!$G$18*MAX(0,(6-6)/18)),1)*Drivers!$D$30</x:f>
        <x:v>675</x:v>
      </x:c>
      <x:c r="I19" s="19" t="n">
        <x:f aca="0">ROUND((Drivers!$G$17*MIN(7/12,1)+Drivers!$G$18*MAX(0,(7-6)/18)),1)*Drivers!$D$30</x:f>
        <x:v>810</x:v>
      </x:c>
      <x:c r="J19" s="19" t="n">
        <x:f aca="0">ROUND((Drivers!$G$17*MIN(8/12,1)+Drivers!$G$18*MAX(0,(8-6)/18)),1)*Drivers!$D$30</x:f>
        <x:v>945</x:v>
      </x:c>
      <x:c r="K19" s="19" t="n">
        <x:f aca="0">ROUND((Drivers!$G$17*MIN(9/12,1)+Drivers!$G$18*MAX(0,(9-6)/18)),1)*Drivers!$D$30</x:f>
        <x:v>1080</x:v>
      </x:c>
      <x:c r="L19" s="19" t="n">
        <x:f aca="0">ROUND((Drivers!$G$17*MIN(10/12,1)+Drivers!$G$18*MAX(0,(10-6)/18)),1)*Drivers!$D$30</x:f>
        <x:v>1215</x:v>
      </x:c>
      <x:c r="M19" s="19" t="n">
        <x:f aca="0">ROUND((Drivers!$G$17*MIN(11/12,1)+Drivers!$G$18*MAX(0,(11-6)/18)),1)*Drivers!$D$30</x:f>
        <x:v>1350</x:v>
      </x:c>
      <x:c r="N19" s="19" t="n">
        <x:f aca="0">ROUND((Drivers!$G$17*MIN(12/12,1)+Drivers!$G$18*MAX(0,(12-6)/18)),1)*Drivers!$D$30</x:f>
        <x:v>1485</x:v>
      </x:c>
      <x:c r="O19" s="19" t="n">
        <x:f aca="0">ROUND((Drivers!$G$17*MIN(13/12,1)+Drivers!$G$18*MAX(0,(13-6)/18)),1)*Drivers!$D$30</x:f>
        <x:v>1530</x:v>
      </x:c>
      <x:c r="P19" s="19" t="n">
        <x:f aca="0">ROUND((Drivers!$G$17*MIN(14/12,1)+Drivers!$G$18*MAX(0,(14-6)/18)),1)*Drivers!$D$30</x:f>
        <x:v>1530</x:v>
      </x:c>
      <x:c r="Q19" s="19" t="n">
        <x:f aca="0">ROUND((Drivers!$G$17*MIN(15/12,1)+Drivers!$G$18*MAX(0,(15-6)/18)),1)*Drivers!$D$30</x:f>
        <x:v>1575</x:v>
      </x:c>
      <x:c r="R19" s="19" t="n">
        <x:f aca="0">ROUND((Drivers!$G$17*MIN(16/12,1)+Drivers!$G$18*MAX(0,(16-6)/18)),1)*Drivers!$D$30</x:f>
        <x:v>1620</x:v>
      </x:c>
      <x:c r="S19" s="19" t="n">
        <x:f aca="0">ROUND((Drivers!$G$17*MIN(17/12,1)+Drivers!$G$18*MAX(0,(17-6)/18)),1)*Drivers!$D$30</x:f>
        <x:v>1620</x:v>
      </x:c>
      <x:c r="T19" s="19" t="n">
        <x:f aca="0">ROUND((Drivers!$G$17*MIN(18/12,1)+Drivers!$G$18*MAX(0,(18-6)/18)),1)*Drivers!$D$30</x:f>
        <x:v>1665</x:v>
      </x:c>
      <x:c r="U19" s="19" t="n">
        <x:f aca="0">ROUND((Drivers!$G$17*MIN(19/12,1)+Drivers!$G$18*MAX(0,(19-6)/18)),1)*Drivers!$D$30</x:f>
        <x:v>1665</x:v>
      </x:c>
      <x:c r="V19" s="19" t="n">
        <x:f aca="0">ROUND((Drivers!$G$17*MIN(20/12,1)+Drivers!$G$18*MAX(0,(20-6)/18)),1)*Drivers!$D$30</x:f>
        <x:v>1710</x:v>
      </x:c>
      <x:c r="W19" s="19" t="n">
        <x:f aca="0">ROUND((Drivers!$G$17*MIN(21/12,1)+Drivers!$G$18*MAX(0,(21-6)/18)),1)*Drivers!$D$30</x:f>
        <x:v>1710</x:v>
      </x:c>
      <x:c r="X19" s="19" t="n">
        <x:f aca="0">ROUND((Drivers!$G$17*MIN(22/12,1)+Drivers!$G$18*MAX(0,(22-6)/18)),1)*Drivers!$D$30</x:f>
        <x:v>1755</x:v>
      </x:c>
      <x:c r="Y19" s="19" t="n">
        <x:f aca="0">ROUND((Drivers!$G$17*MIN(23/12,1)+Drivers!$G$18*MAX(0,(23-6)/18)),1)*Drivers!$D$30</x:f>
        <x:v>1755</x:v>
      </x:c>
      <x:c r="Z19" s="19" t="n">
        <x:f aca="0">ROUND((Drivers!$G$17*MIN(24/12,1)+Drivers!$G$18*MAX(0,(24-6)/18)),1)*Drivers!$D$30</x:f>
        <x:v>1800</x:v>
      </x:c>
    </x:row>
    <x:row r="20" ht="15" hidden="0">
      <x:c r="A20" s="10" t="s">
        <x:v>78</x:v>
      </x:c>
      <x:c r="C20" s="19" t="n">
        <x:f aca="0">C9*Drivers!$D$31</x:f>
        <x:v>0</x:v>
      </x:c>
      <x:c r="D20" s="19" t="n">
        <x:f aca="0">D9*Drivers!$D$31</x:f>
        <x:v>0</x:v>
      </x:c>
      <x:c r="E20" s="19" t="n">
        <x:f aca="0">E9*Drivers!$D$31</x:f>
        <x:v>0</x:v>
      </x:c>
      <x:c r="F20" s="19" t="n">
        <x:f aca="0">F9*Drivers!$D$31</x:f>
        <x:v>0</x:v>
      </x:c>
      <x:c r="G20" s="19" t="n">
        <x:f aca="0">G9*Drivers!$D$31</x:f>
        <x:v>0</x:v>
      </x:c>
      <x:c r="H20" s="19" t="n">
        <x:f aca="0">H9*Drivers!$D$31</x:f>
        <x:v>0</x:v>
      </x:c>
      <x:c r="I20" s="19" t="n">
        <x:f aca="0">I9*Drivers!$D$31</x:f>
        <x:v>0</x:v>
      </x:c>
      <x:c r="J20" s="19" t="n">
        <x:f aca="0">J9*Drivers!$D$31</x:f>
        <x:v>0</x:v>
      </x:c>
      <x:c r="K20" s="19" t="n">
        <x:f aca="0">K9*Drivers!$D$31</x:f>
        <x:v>0</x:v>
      </x:c>
      <x:c r="L20" s="19" t="n">
        <x:f aca="0">L9*Drivers!$D$31</x:f>
        <x:v>0</x:v>
      </x:c>
      <x:c r="M20" s="19" t="n">
        <x:f aca="0">M9*Drivers!$D$31</x:f>
        <x:v>0</x:v>
      </x:c>
      <x:c r="N20" s="19" t="n">
        <x:f aca="0">N9*Drivers!$D$31</x:f>
        <x:v>3750</x:v>
      </x:c>
      <x:c r="O20" s="19" t="n">
        <x:f aca="0">O9*Drivers!$D$31</x:f>
        <x:v>3750</x:v>
      </x:c>
      <x:c r="P20" s="19" t="n">
        <x:f aca="0">P9*Drivers!$D$31</x:f>
        <x:v>3750</x:v>
      </x:c>
      <x:c r="Q20" s="19" t="n">
        <x:f aca="0">Q9*Drivers!$D$31</x:f>
        <x:v>3750</x:v>
      </x:c>
      <x:c r="R20" s="19" t="n">
        <x:f aca="0">R9*Drivers!$D$31</x:f>
        <x:v>3750</x:v>
      </x:c>
      <x:c r="S20" s="19" t="n">
        <x:f aca="0">S9*Drivers!$D$31</x:f>
        <x:v>3750</x:v>
      </x:c>
      <x:c r="T20" s="19" t="n">
        <x:f aca="0">T9*Drivers!$D$31</x:f>
        <x:v>3750</x:v>
      </x:c>
      <x:c r="U20" s="19" t="n">
        <x:f aca="0">U9*Drivers!$D$31</x:f>
        <x:v>3750</x:v>
      </x:c>
      <x:c r="V20" s="19" t="n">
        <x:f aca="0">V9*Drivers!$D$31</x:f>
        <x:v>6875</x:v>
      </x:c>
      <x:c r="W20" s="19" t="n">
        <x:f aca="0">W9*Drivers!$D$31</x:f>
        <x:v>6875</x:v>
      </x:c>
      <x:c r="X20" s="19" t="n">
        <x:f aca="0">X9*Drivers!$D$31</x:f>
        <x:v>6875</x:v>
      </x:c>
      <x:c r="Y20" s="19" t="n">
        <x:f aca="0">Y9*Drivers!$D$31</x:f>
        <x:v>6875</x:v>
      </x:c>
      <x:c r="Z20" s="19" t="n">
        <x:f aca="0">Z9*Drivers!$D$31</x:f>
        <x:v>6875</x:v>
      </x:c>
    </x:row>
    <x:row r="21" ht="15" hidden="0">
      <x:c r="A21" s="10" t="s">
        <x:v>79</x:v>
      </x:c>
      <x:c r="C21" s="14" t="n">
        <x:f aca="0">IF(AND(MOD(1-3,4)=0,1&gt;=3,(1-3)/4 &lt; Drivers!$G$17),Drivers!$C$50,0)+IF(AND(1=12,Drivers!$G$18&gt;=1),Drivers!$D$50,0)+IF(AND(1=18,Drivers!$G$18&gt;=2),Drivers!$D$50,0)</x:f>
        <x:v>0</x:v>
      </x:c>
      <x:c r="D21" s="14" t="n">
        <x:f aca="0">IF(AND(MOD(2-3,4)=0,2&gt;=3,(2-3)/4 &lt; Drivers!$G$17),Drivers!$C$50,0)+IF(AND(2=12,Drivers!$G$18&gt;=1),Drivers!$D$50,0)+IF(AND(2=18,Drivers!$G$18&gt;=2),Drivers!$D$50,0)</x:f>
        <x:v>0</x:v>
      </x:c>
      <x:c r="E21" s="14" t="n">
        <x:f aca="0">IF(AND(MOD(3-3,4)=0,3&gt;=3,(3-3)/4 &lt; Drivers!$G$17),Drivers!$C$50,0)+IF(AND(3=12,Drivers!$G$18&gt;=1),Drivers!$D$50,0)+IF(AND(3=18,Drivers!$G$18&gt;=2),Drivers!$D$50,0)</x:f>
        <x:v>8855</x:v>
      </x:c>
      <x:c r="F21" s="14" t="n">
        <x:f aca="0">IF(AND(MOD(4-3,4)=0,4&gt;=3,(4-3)/4 &lt; Drivers!$G$17),Drivers!$C$50,0)+IF(AND(4=12,Drivers!$G$18&gt;=1),Drivers!$D$50,0)+IF(AND(4=18,Drivers!$G$18&gt;=2),Drivers!$D$50,0)</x:f>
        <x:v>0</x:v>
      </x:c>
      <x:c r="G21" s="14" t="n">
        <x:f aca="0">IF(AND(MOD(5-3,4)=0,5&gt;=3,(5-3)/4 &lt; Drivers!$G$17),Drivers!$C$50,0)+IF(AND(5=12,Drivers!$G$18&gt;=1),Drivers!$D$50,0)+IF(AND(5=18,Drivers!$G$18&gt;=2),Drivers!$D$50,0)</x:f>
        <x:v>0</x:v>
      </x:c>
      <x:c r="H21" s="14" t="n">
        <x:f aca="0">IF(AND(MOD(6-3,4)=0,6&gt;=3,(6-3)/4 &lt; Drivers!$G$17),Drivers!$C$50,0)+IF(AND(6=12,Drivers!$G$18&gt;=1),Drivers!$D$50,0)+IF(AND(6=18,Drivers!$G$18&gt;=2),Drivers!$D$50,0)</x:f>
        <x:v>0</x:v>
      </x:c>
      <x:c r="I21" s="14" t="n">
        <x:f aca="0">IF(AND(MOD(7-3,4)=0,7&gt;=3,(7-3)/4 &lt; Drivers!$G$17),Drivers!$C$50,0)+IF(AND(7=12,Drivers!$G$18&gt;=1),Drivers!$D$50,0)+IF(AND(7=18,Drivers!$G$18&gt;=2),Drivers!$D$50,0)</x:f>
        <x:v>8855</x:v>
      </x:c>
      <x:c r="J21" s="14" t="n">
        <x:f aca="0">IF(AND(MOD(8-3,4)=0,8&gt;=3,(8-3)/4 &lt; Drivers!$G$17),Drivers!$C$50,0)+IF(AND(8=12,Drivers!$G$18&gt;=1),Drivers!$D$50,0)+IF(AND(8=18,Drivers!$G$18&gt;=2),Drivers!$D$50,0)</x:f>
        <x:v>0</x:v>
      </x:c>
      <x:c r="K21" s="14" t="n">
        <x:f aca="0">IF(AND(MOD(9-3,4)=0,9&gt;=3,(9-3)/4 &lt; Drivers!$G$17),Drivers!$C$50,0)+IF(AND(9=12,Drivers!$G$18&gt;=1),Drivers!$D$50,0)+IF(AND(9=18,Drivers!$G$18&gt;=2),Drivers!$D$50,0)</x:f>
        <x:v>0</x:v>
      </x:c>
      <x:c r="L21" s="14" t="n">
        <x:f aca="0">IF(AND(MOD(10-3,4)=0,10&gt;=3,(10-3)/4 &lt; Drivers!$G$17),Drivers!$C$50,0)+IF(AND(10=12,Drivers!$G$18&gt;=1),Drivers!$D$50,0)+IF(AND(10=18,Drivers!$G$18&gt;=2),Drivers!$D$50,0)</x:f>
        <x:v>0</x:v>
      </x:c>
      <x:c r="M21" s="14" t="n">
        <x:f aca="0">IF(AND(MOD(11-3,4)=0,11&gt;=3,(11-3)/4 &lt; Drivers!$G$17),Drivers!$C$50,0)+IF(AND(11=12,Drivers!$G$18&gt;=1),Drivers!$D$50,0)+IF(AND(11=18,Drivers!$G$18&gt;=2),Drivers!$D$50,0)</x:f>
        <x:v>8855</x:v>
      </x:c>
      <x:c r="N21" s="14" t="n">
        <x:f aca="0">IF(AND(MOD(12-3,4)=0,12&gt;=3,(12-3)/4 &lt; Drivers!$G$17),Drivers!$C$50,0)+IF(AND(12=12,Drivers!$G$18&gt;=1),Drivers!$D$50,0)+IF(AND(12=18,Drivers!$G$18&gt;=2),Drivers!$D$50,0)</x:f>
        <x:v>31855</x:v>
      </x:c>
      <x:c r="O21" s="14" t="n">
        <x:f aca="0">IF(AND(MOD(13-3,4)=0,13&gt;=3,(13-3)/4 &lt; Drivers!$G$17),Drivers!$C$50,0)+IF(AND(13=12,Drivers!$G$18&gt;=1),Drivers!$D$50,0)+IF(AND(13=18,Drivers!$G$18&gt;=2),Drivers!$D$50,0)</x:f>
        <x:v>0</x:v>
      </x:c>
      <x:c r="P21" s="14" t="n">
        <x:f aca="0">IF(AND(MOD(14-3,4)=0,14&gt;=3,(14-3)/4 &lt; Drivers!$G$17),Drivers!$C$50,0)+IF(AND(14=12,Drivers!$G$18&gt;=1),Drivers!$D$50,0)+IF(AND(14=18,Drivers!$G$18&gt;=2),Drivers!$D$50,0)</x:f>
        <x:v>0</x:v>
      </x:c>
      <x:c r="Q21" s="14" t="n">
        <x:f aca="0">IF(AND(MOD(15-3,4)=0,15&gt;=3,(15-3)/4 &lt; Drivers!$G$17),Drivers!$C$50,0)+IF(AND(15=12,Drivers!$G$18&gt;=1),Drivers!$D$50,0)+IF(AND(15=18,Drivers!$G$18&gt;=2),Drivers!$D$50,0)</x:f>
        <x:v>0</x:v>
      </x:c>
      <x:c r="R21" s="14" t="n">
        <x:f aca="0">IF(AND(MOD(16-3,4)=0,16&gt;=3,(16-3)/4 &lt; Drivers!$G$17),Drivers!$C$50,0)+IF(AND(16=12,Drivers!$G$18&gt;=1),Drivers!$D$50,0)+IF(AND(16=18,Drivers!$G$18&gt;=2),Drivers!$D$50,0)</x:f>
        <x:v>0</x:v>
      </x:c>
      <x:c r="S21" s="14" t="n">
        <x:f aca="0">IF(AND(MOD(17-3,4)=0,17&gt;=3,(17-3)/4 &lt; Drivers!$G$17),Drivers!$C$50,0)+IF(AND(17=12,Drivers!$G$18&gt;=1),Drivers!$D$50,0)+IF(AND(17=18,Drivers!$G$18&gt;=2),Drivers!$D$50,0)</x:f>
        <x:v>0</x:v>
      </x:c>
      <x:c r="T21" s="14" t="n">
        <x:f aca="0">IF(AND(MOD(18-3,4)=0,18&gt;=3,(18-3)/4 &lt; Drivers!$G$17),Drivers!$C$50,0)+IF(AND(18=12,Drivers!$G$18&gt;=1),Drivers!$D$50,0)+IF(AND(18=18,Drivers!$G$18&gt;=2),Drivers!$D$50,0)</x:f>
        <x:v>0</x:v>
      </x:c>
      <x:c r="U21" s="14" t="n">
        <x:f aca="0">IF(AND(MOD(19-3,4)=0,19&gt;=3,(19-3)/4 &lt; Drivers!$G$17),Drivers!$C$50,0)+IF(AND(19=12,Drivers!$G$18&gt;=1),Drivers!$D$50,0)+IF(AND(19=18,Drivers!$G$18&gt;=2),Drivers!$D$50,0)</x:f>
        <x:v>0</x:v>
      </x:c>
      <x:c r="V21" s="14" t="n">
        <x:f aca="0">IF(AND(MOD(20-3,4)=0,20&gt;=3,(20-3)/4 &lt; Drivers!$G$17),Drivers!$C$50,0)+IF(AND(20=12,Drivers!$G$18&gt;=1),Drivers!$D$50,0)+IF(AND(20=18,Drivers!$G$18&gt;=2),Drivers!$D$50,0)</x:f>
        <x:v>0</x:v>
      </x:c>
      <x:c r="W21" s="14" t="n">
        <x:f aca="0">IF(AND(MOD(21-3,4)=0,21&gt;=3,(21-3)/4 &lt; Drivers!$G$17),Drivers!$C$50,0)+IF(AND(21=12,Drivers!$G$18&gt;=1),Drivers!$D$50,0)+IF(AND(21=18,Drivers!$G$18&gt;=2),Drivers!$D$50,0)</x:f>
        <x:v>0</x:v>
      </x:c>
      <x:c r="X21" s="14" t="n">
        <x:f aca="0">IF(AND(MOD(22-3,4)=0,22&gt;=3,(22-3)/4 &lt; Drivers!$G$17),Drivers!$C$50,0)+IF(AND(22=12,Drivers!$G$18&gt;=1),Drivers!$D$50,0)+IF(AND(22=18,Drivers!$G$18&gt;=2),Drivers!$D$50,0)</x:f>
        <x:v>0</x:v>
      </x:c>
      <x:c r="Y21" s="14" t="n">
        <x:f aca="0">IF(AND(MOD(23-3,4)=0,23&gt;=3,(23-3)/4 &lt; Drivers!$G$17),Drivers!$C$50,0)+IF(AND(23=12,Drivers!$G$18&gt;=1),Drivers!$D$50,0)+IF(AND(23=18,Drivers!$G$18&gt;=2),Drivers!$D$50,0)</x:f>
        <x:v>0</x:v>
      </x:c>
      <x:c r="Z21" s="14" t="n">
        <x:f aca="0">IF(AND(MOD(24-3,4)=0,24&gt;=3,(24-3)/4 &lt; Drivers!$G$17),Drivers!$C$50,0)+IF(AND(24=12,Drivers!$G$18&gt;=1),Drivers!$D$50,0)+IF(AND(24=18,Drivers!$G$18&gt;=2),Drivers!$D$50,0)</x:f>
        <x:v>0</x:v>
      </x:c>
    </x:row>
    <x:row r="22" ht="15" hidden="0">
      <x:c r="A22" s="3" t="s">
        <x:v>80</x:v>
      </x:c>
      <x:c r="C22" s="20" t="n">
        <x:f aca="0">SUM(C15:C21)</x:f>
        <x:v>7335</x:v>
      </x:c>
      <x:c r="D22" s="20" t="n">
        <x:f aca="0">SUM(D15:D21)</x:f>
        <x:v>7425</x:v>
      </x:c>
      <x:c r="E22" s="20" t="n">
        <x:f aca="0">SUM(E15:E21)</x:f>
        <x:v>16415</x:v>
      </x:c>
      <x:c r="F22" s="20" t="n">
        <x:f aca="0">SUM(F15:F21)</x:f>
        <x:v>7650</x:v>
      </x:c>
      <x:c r="G22" s="20" t="n">
        <x:f aca="0">SUM(G15:G21)</x:f>
        <x:v>7785</x:v>
      </x:c>
      <x:c r="H22" s="20" t="n">
        <x:f aca="0">SUM(H15:H21)</x:f>
        <x:v>7875</x:v>
      </x:c>
      <x:c r="I22" s="20" t="n">
        <x:f aca="0">SUM(I15:I21)</x:f>
        <x:v>16865</x:v>
      </x:c>
      <x:c r="J22" s="20" t="n">
        <x:f aca="0">SUM(J15:J21)</x:f>
        <x:v>8145</x:v>
      </x:c>
      <x:c r="K22" s="20" t="n">
        <x:f aca="0">SUM(K15:K21)</x:f>
        <x:v>8280</x:v>
      </x:c>
      <x:c r="L22" s="20" t="n">
        <x:f aca="0">SUM(L15:L21)</x:f>
        <x:v>8415</x:v>
      </x:c>
      <x:c r="M22" s="20" t="n">
        <x:f aca="0">SUM(M15:M21)</x:f>
        <x:v>17405</x:v>
      </x:c>
      <x:c r="N22" s="20" t="n">
        <x:f aca="0">SUM(N15:N21)</x:f>
        <x:v>44290</x:v>
      </x:c>
      <x:c r="O22" s="20" t="n">
        <x:f aca="0">SUM(O15:O21)</x:f>
        <x:v>23980</x:v>
      </x:c>
      <x:c r="P22" s="20" t="n">
        <x:f aca="0">SUM(P15:P21)</x:f>
        <x:v>23980</x:v>
      </x:c>
      <x:c r="Q22" s="20" t="n">
        <x:f aca="0">SUM(Q15:Q21)</x:f>
        <x:v>24025</x:v>
      </x:c>
      <x:c r="R22" s="20" t="n">
        <x:f aca="0">SUM(R15:R21)</x:f>
        <x:v>24070</x:v>
      </x:c>
      <x:c r="S22" s="20" t="n">
        <x:f aca="0">SUM(S15:S21)</x:f>
        <x:v>24070</x:v>
      </x:c>
      <x:c r="T22" s="20" t="n">
        <x:f aca="0">SUM(T15:T21)</x:f>
        <x:v>24115</x:v>
      </x:c>
      <x:c r="U22" s="20" t="n">
        <x:f aca="0">SUM(U15:U21)</x:f>
        <x:v>33615</x:v>
      </x:c>
      <x:c r="V22" s="20" t="n">
        <x:f aca="0">SUM(V15:V21)</x:f>
        <x:v>36785</x:v>
      </x:c>
      <x:c r="W22" s="20" t="n">
        <x:f aca="0">SUM(W15:W21)</x:f>
        <x:v>36785</x:v>
      </x:c>
      <x:c r="X22" s="20" t="n">
        <x:f aca="0">SUM(X15:X21)</x:f>
        <x:v>36830</x:v>
      </x:c>
      <x:c r="Y22" s="20" t="n">
        <x:f aca="0">SUM(Y15:Y21)</x:f>
        <x:v>36830</x:v>
      </x:c>
      <x:c r="Z22" s="20" t="n">
        <x:f aca="0">SUM(Z15:Z21)</x:f>
        <x:v>36875</x:v>
      </x:c>
    </x:row>
    <x:row r="24" ht="15" hidden="0">
      <x:c r="A24" s="3" t="s">
        <x:v>81</x:v>
      </x:c>
      <x:c r="C24" s="21" t="n">
        <x:f aca="0">C9+C10+C11+C12-C22</x:f>
        <x:v>292665</x:v>
      </x:c>
      <x:c r="D24" s="21" t="n">
        <x:f aca="0">D9+D10+D11+D12-D22</x:f>
        <x:v>-7425</x:v>
      </x:c>
      <x:c r="E24" s="21" t="n">
        <x:f aca="0">E9+E10+E11+E12-E22</x:f>
        <x:v>-16415</x:v>
      </x:c>
      <x:c r="F24" s="21" t="n">
        <x:f aca="0">F9+F10+F11+F12-F22</x:f>
        <x:v>-7650</x:v>
      </x:c>
      <x:c r="G24" s="21" t="n">
        <x:f aca="0">G9+G10+G11+G12-G22</x:f>
        <x:v>-7785</x:v>
      </x:c>
      <x:c r="H24" s="21" t="n">
        <x:f aca="0">H9+H10+H11+H12-H22</x:f>
        <x:v>-7875</x:v>
      </x:c>
      <x:c r="I24" s="21" t="n">
        <x:f aca="0">I9+I10+I11+I12-I22</x:f>
        <x:v>-16865</x:v>
      </x:c>
      <x:c r="J24" s="21" t="n">
        <x:f aca="0">J9+J10+J11+J12-J22</x:f>
        <x:v>-8145</x:v>
      </x:c>
      <x:c r="K24" s="21" t="n">
        <x:f aca="0">K9+K10+K11+K12-K22</x:f>
        <x:v>-8280</x:v>
      </x:c>
      <x:c r="L24" s="21" t="n">
        <x:f aca="0">L9+L10+L11+L12-L22</x:f>
        <x:v>-8415</x:v>
      </x:c>
      <x:c r="M24" s="21" t="n">
        <x:f aca="0">M9+M10+M11+M12-M22</x:f>
        <x:v>-17405</x:v>
      </x:c>
      <x:c r="N24" s="21" t="n">
        <x:f aca="0">N9+N10+N11+N12-N22</x:f>
        <x:v>-29290</x:v>
      </x:c>
      <x:c r="O24" s="21" t="n">
        <x:f aca="0">O9+O10+O11+O12-O22</x:f>
        <x:v>-8980</x:v>
      </x:c>
      <x:c r="P24" s="21" t="n">
        <x:f aca="0">P9+P10+P11+P12-P22</x:f>
        <x:v>-8980</x:v>
      </x:c>
      <x:c r="Q24" s="21" t="n">
        <x:f aca="0">Q9+Q10+Q11+Q12-Q22</x:f>
        <x:v>-9025</x:v>
      </x:c>
      <x:c r="R24" s="21" t="n">
        <x:f aca="0">R9+R10+R11+R12-R22</x:f>
        <x:v>-9070</x:v>
      </x:c>
      <x:c r="S24" s="21" t="n">
        <x:f aca="0">S9+S10+S11+S12-S22</x:f>
        <x:v>-9070</x:v>
      </x:c>
      <x:c r="T24" s="21" t="n">
        <x:f aca="0">T9+T10+T11+T12-T22</x:f>
        <x:v>-9115</x:v>
      </x:c>
      <x:c r="U24" s="21" t="n">
        <x:f aca="0">U9+U10+U11+U12-U22</x:f>
        <x:v>-18615</x:v>
      </x:c>
      <x:c r="V24" s="21" t="n">
        <x:f aca="0">V9+V10+V11+V12-V22</x:f>
        <x:v>-9285</x:v>
      </x:c>
      <x:c r="W24" s="21" t="n">
        <x:f aca="0">W9+W10+W11+W12-W22</x:f>
        <x:v>-9285</x:v>
      </x:c>
      <x:c r="X24" s="21" t="n">
        <x:f aca="0">X9+X10+X11+X12-X22</x:f>
        <x:v>11341.200000000004</x:v>
      </x:c>
      <x:c r="Y24" s="21" t="n">
        <x:f aca="0">Y9+Y10+Y11+Y12-Y22</x:f>
        <x:v>-9330</x:v>
      </x:c>
      <x:c r="Z24" s="21" t="n">
        <x:f aca="0">Z9+Z10+Z11+Z12-Z22</x:f>
        <x:v>-9375</x:v>
      </x:c>
    </x:row>
    <x:row r="25" ht="15" hidden="0">
      <x:c r="A25" s="3" t="s">
        <x:v>82</x:v>
      </x:c>
      <x:c r="C25" s="17" t="n">
        <x:f aca="0">C24</x:f>
        <x:v>292665</x:v>
      </x:c>
      <x:c r="D25" s="17" t="n">
        <x:f aca="0">C25+D24</x:f>
        <x:v>285240</x:v>
      </x:c>
      <x:c r="E25" s="17" t="n">
        <x:f aca="0">D25+E24</x:f>
        <x:v>268825</x:v>
      </x:c>
      <x:c r="F25" s="17" t="n">
        <x:f aca="0">E25+F24</x:f>
        <x:v>261175</x:v>
      </x:c>
      <x:c r="G25" s="17" t="n">
        <x:f aca="0">F25+G24</x:f>
        <x:v>253390</x:v>
      </x:c>
      <x:c r="H25" s="17" t="n">
        <x:f aca="0">G25+H24</x:f>
        <x:v>245515</x:v>
      </x:c>
      <x:c r="I25" s="17" t="n">
        <x:f aca="0">H25+I24</x:f>
        <x:v>228650</x:v>
      </x:c>
      <x:c r="J25" s="17" t="n">
        <x:f aca="0">I25+J24</x:f>
        <x:v>220505</x:v>
      </x:c>
      <x:c r="K25" s="17" t="n">
        <x:f aca="0">J25+K24</x:f>
        <x:v>212225</x:v>
      </x:c>
      <x:c r="L25" s="17" t="n">
        <x:f aca="0">K25+L24</x:f>
        <x:v>203810</x:v>
      </x:c>
      <x:c r="M25" s="17" t="n">
        <x:f aca="0">L25+M24</x:f>
        <x:v>186405</x:v>
      </x:c>
      <x:c r="N25" s="17" t="n">
        <x:f aca="0">M25+N24</x:f>
        <x:v>157115</x:v>
      </x:c>
      <x:c r="O25" s="17" t="n">
        <x:f aca="0">N25+O24</x:f>
        <x:v>148135</x:v>
      </x:c>
      <x:c r="P25" s="17" t="n">
        <x:f aca="0">O25+P24</x:f>
        <x:v>139155</x:v>
      </x:c>
      <x:c r="Q25" s="17" t="n">
        <x:f aca="0">P25+Q24</x:f>
        <x:v>130130</x:v>
      </x:c>
      <x:c r="R25" s="17" t="n">
        <x:f aca="0">Q25+R24</x:f>
        <x:v>121060</x:v>
      </x:c>
      <x:c r="S25" s="17" t="n">
        <x:f aca="0">R25+S24</x:f>
        <x:v>111990</x:v>
      </x:c>
      <x:c r="T25" s="17" t="n">
        <x:f aca="0">S25+T24</x:f>
        <x:v>102875</x:v>
      </x:c>
      <x:c r="U25" s="17" t="n">
        <x:f aca="0">T25+U24</x:f>
        <x:v>84260</x:v>
      </x:c>
      <x:c r="V25" s="17" t="n">
        <x:f aca="0">U25+V24</x:f>
        <x:v>74975</x:v>
      </x:c>
      <x:c r="W25" s="17" t="n">
        <x:f aca="0">V25+W24</x:f>
        <x:v>65690</x:v>
      </x:c>
      <x:c r="X25" s="17" t="n">
        <x:f aca="0">W25+X24</x:f>
        <x:v>77031.20000000001</x:v>
      </x:c>
      <x:c r="Y25" s="17" t="n">
        <x:f aca="0">X25+Y24</x:f>
        <x:v>67701.20000000001</x:v>
      </x:c>
      <x:c r="Z25" s="17" t="n">
        <x:f aca="0">Y25+Z24</x:f>
        <x:v>58326.20000000001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62" hidden="0" customWidth="1"/>
    <x:col min="4" max="4" width="16" hidden="0" customWidth="1"/>
  </x:cols>
  <x:sheetData>
    <x:row r="1" ht="17.350000381469727" hidden="0">
      <x:c r="A1" s="87" t="s">
        <x:v>83</x:v>
      </x:c>
      <x:c r="B1" s="53"/>
      <x:c r="C1" s="53"/>
      <x:c r="D1" s="53"/>
    </x:row>
    <x:row r="2" ht="15" hidden="0">
      <x:c r="A2" s="2" t="s">
        <x:v>84</x:v>
      </x:c>
    </x:row>
    <x:row r="4" ht="15" hidden="0">
      <x:c r="A4" s="90" t="s">
        <x:v>85</x:v>
      </x:c>
      <x:c r="B4" s="56"/>
      <x:c r="C4" s="56"/>
      <x:c r="D4" s="98" t="str">
        <x:f aca="0">Drivers!E5</x:f>
        <x:v>Base</x:v>
      </x:c>
    </x:row>
    <x:row r="5" ht="15" hidden="0">
      <x:c r="A5" s="90" t="s">
        <x:v>86</x:v>
      </x:c>
      <x:c r="B5" s="56"/>
      <x:c r="C5" s="56"/>
      <x:c r="D5" s="99" t="n">
        <x:f aca="0">MIN(Monthly_24mo!C25:Z25)</x:f>
        <x:v>58326.20000000001</x:v>
      </x:c>
    </x:row>
    <x:row r="6" ht="15" hidden="0">
      <x:c r="A6" s="90" t="s">
        <x:v>87</x:v>
      </x:c>
      <x:c r="B6" s="56"/>
      <x:c r="C6" s="56"/>
      <x:c r="D6" s="98" t="n">
        <x:f aca="0">MATCH(MIN(Monthly_24mo!C25:Z25),Monthly_24mo!C25:Z25,0)</x:f>
        <x:v>24</x:v>
      </x:c>
    </x:row>
    <x:row r="7" ht="15" hidden="0">
      <x:c r="A7" s="90" t="s">
        <x:v>88</x:v>
      </x:c>
      <x:c r="B7" s="56"/>
      <x:c r="C7" s="56"/>
      <x:c r="D7" s="99" t="n">
        <x:f aca="0">Drivers!G13</x:f>
        <x:v>300000</x:v>
      </x:c>
    </x:row>
    <x:row r="8" ht="15" hidden="0">
      <x:c r="A8" s="90" t="s">
        <x:v>89</x:v>
      </x:c>
      <x:c r="B8" s="56"/>
      <x:c r="C8" s="56"/>
      <x:c r="D8" s="99" t="n">
        <x:f aca="0">MAX(0,-MIN(Monthly_24mo!C25:Z25))</x:f>
        <x:v>0</x:v>
      </x:c>
    </x:row>
    <x:row r="9" ht="15" hidden="0">
      <x:c r="A9" s="90" t="str">
        <x:v>Cumulative revenue (24mo)</x:v>
      </x:c>
      <x:c r="B9" s="56"/>
      <x:c r="C9" s="56"/>
      <x:c r="D9" s="99" t="n">
        <x:f aca="0">SUM(Monthly_24mo!C9:Z9)</x:f>
        <x:v>257500</x:v>
      </x:c>
    </x:row>
    <x:row r="10" ht="15" hidden="0">
      <x:c r="A10" s="90" t="str">
        <x:v>Non-dilutive funding received (RDTI + eligible grants)</x:v>
      </x:c>
      <x:c r="B10" s="56"/>
      <x:c r="C10" s="56"/>
      <x:c r="D10" s="99" t="n">
        <x:f aca="0">SUM(Monthly_24mo!C11:Z11)+SUM(Monthly_24mo!C12:Z12)</x:f>
        <x:v>20671.200000000004</x:v>
      </x:c>
    </x:row>
    <x:row r="11" ht="15" hidden="0">
      <x:c r="A11" s="90" t="s">
        <x:v>90</x:v>
      </x:c>
      <x:c r="B11" s="56"/>
      <x:c r="C11" s="56"/>
      <x:c r="D11" s="99" t="n">
        <x:f aca="0">Monthly_24mo!Z25</x:f>
        <x:v>58326.20000000001</x:v>
      </x:c>
    </x:row>
    <x:row r="12" ht="15" hidden="0">
      <x:c r="A12" s="90" t="s">
        <x:v>91</x:v>
      </x:c>
      <x:c r="B12" s="56"/>
      <x:c r="C12" s="56"/>
      <x:c r="D12" s="99" t="n">
        <x:f aca="0">Drivers!D50</x:f>
        <x:v>31855</x:v>
      </x:c>
    </x:row>
    <x:row r="13" ht="15" hidden="0">
      <x:c r="A13" s="90" t="s">
        <x:v>92</x:v>
      </x:c>
      <x:c r="B13" s="56"/>
      <x:c r="C13" s="56"/>
      <x:c r="D13" s="99" t="n">
        <x:f aca="0">Drivers!C50</x:f>
        <x:v>8855</x:v>
      </x:c>
    </x:row>
    <x:row r="15" ht="15" hidden="0">
      <x:c r="A15" s="84" t="s">
        <x:v>93</x:v>
      </x:c>
      <x:c r="B15" s="53"/>
      <x:c r="C15" s="53"/>
      <x:c r="D15" s="53"/>
      <x:c r="E15" s="7"/>
      <x:c r="F15" s="7"/>
    </x:row>
    <x:row r="16" ht="15" hidden="0">
      <x:c r="A16" s="10" t="s">
        <x:v>94</x:v>
      </x:c>
    </x:row>
    <x:row r="17" ht="15" hidden="0">
      <x:c r="A17" s="10" t="s">
        <x:v>95</x:v>
      </x:c>
    </x:row>
    <x:row r="18" ht="15" hidden="0">
      <x:c r="A18" s="10" t="str">
        <x:v>•  Monthly cash exposes the trough — non-dilutive funding arrives in arrears, after the burn.</x:v>
      </x:c>
    </x:row>
    <x:row r="19" ht="15" hidden="0">
      <x:c r="A19" s="10" t="str">
        <x:v>•  Base case assumes NO DIDG inside 24 months; upside uses DIDG only for eligible capability uplift.</x:v>
      </x:c>
    </x:row>
    <x:row r="20" ht="15" hidden="0">
      <x:c r="A20" s="10" t="s">
        <x:v>96</x:v>
      </x:c>
    </x:row>
    <x:row r="21" ht="15" hidden="0">
      <x:c r="A21" s="10" t="s">
        <x:v>97</x:v>
      </x:c>
    </x:row>
    <x:row r="22" ht="15" hidden="0">
      <x:c r="A22" s="10" t="str">
        <x:v>•  Grants/RDTI are upside that reduce dilution — not the thing that keeps you alive.</x:v>
      </x:c>
    </x:row>
    <x:row r="24" ht="15" hidden="0">
      <x:c r="A24" s="25" t="s">
        <x:v>98</x:v>
      </x:c>
    </x:row>
  </x:sheetData>
  <x:pageMargins left="0.7" right="0.7" top="0.75" bottom="0.75" header="0.3" footer="0.3"/>
</x:worksheet>
</file>